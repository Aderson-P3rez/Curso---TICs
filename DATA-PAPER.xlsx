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CD0FC8E-0FB1-4AEA-8CF6-005D8551D2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tadatos" sheetId="1" r:id="rId1"/>
    <sheet name="Bruto" sheetId="2" r:id="rId2"/>
    <sheet name="PRE-Tratado" sheetId="3" r:id="rId3"/>
    <sheet name="F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3" l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M4" i="3"/>
  <c r="N4" i="3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4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4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3" i="3"/>
</calcChain>
</file>

<file path=xl/sharedStrings.xml><?xml version="1.0" encoding="utf-8"?>
<sst xmlns="http://schemas.openxmlformats.org/spreadsheetml/2006/main" count="836" uniqueCount="328">
  <si>
    <t>Código de serie</t>
  </si>
  <si>
    <t>PN01260PM</t>
  </si>
  <si>
    <t>Categoría de serie</t>
  </si>
  <si>
    <t>Tipo de cambio real</t>
  </si>
  <si>
    <t>Grupo de serie</t>
  </si>
  <si>
    <t>Índice del tipo de cambio real (var% mensual)</t>
  </si>
  <si>
    <t>Nombre de serie</t>
  </si>
  <si>
    <t>Multilateral</t>
  </si>
  <si>
    <t>Descripción de la serie</t>
  </si>
  <si>
    <t>Metodología de la serie</t>
  </si>
  <si>
    <t>Unidad de medida</t>
  </si>
  <si>
    <t>Escala</t>
  </si>
  <si>
    <t>Geografía</t>
  </si>
  <si>
    <t>Fuente</t>
  </si>
  <si>
    <t>SBS, BCRP, FMI, Reuters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</si>
  <si>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</si>
  <si>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</si>
  <si>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</si>
  <si>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</si>
  <si>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</si>
  <si>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</si>
  <si>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</si>
  <si>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Estadísticas de Precios</t>
  </si>
  <si>
    <t>Fecha de actualización</t>
  </si>
  <si>
    <t>2025-10-03</t>
  </si>
  <si>
    <t>Fecha de inicio</t>
  </si>
  <si>
    <t>Ene-1992</t>
  </si>
  <si>
    <t>Fecha de fin</t>
  </si>
  <si>
    <t>Dic-2024</t>
  </si>
  <si>
    <t>Memo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</si>
  <si>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</si>
  <si>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</si>
  <si>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</si>
  <si>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</si>
  <si>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</si>
  <si>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</si>
  <si>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</si>
  <si>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</si>
  <si>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</si>
  <si>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</si>
  <si>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</si>
  <si>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</si>
  <si>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</si>
  <si>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</si>
  <si>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</si>
  <si>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</si>
  <si>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</si>
  <si>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</si>
  <si>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</si>
  <si>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</si>
  <si>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</si>
  <si>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</si>
  <si>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</si>
  <si>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</si>
  <si>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</si>
  <si>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</si>
  <si>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</si>
  <si>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</si>
  <si>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</si>
  <si>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</si>
  <si>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</si>
  <si>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</si>
  <si>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</si>
  <si>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</si>
  <si>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</si>
  <si>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</si>
  <si>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</si>
  <si>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</si>
  <si>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</si>
  <si>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</si>
  <si>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</si>
  <si>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</si>
  <si>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</si>
  <si>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</si>
  <si>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</si>
  <si>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</si>
  <si>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</si>
  <si>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</si>
  <si>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</si>
  <si>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</si>
  <si>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</si>
  <si>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</si>
  <si>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</si>
  <si>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</si>
  <si>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</si>
  <si>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</si>
  <si>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</si>
  <si>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</si>
  <si>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</si>
  <si>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</si>
  <si>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</si>
  <si>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</si>
  <si>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</si>
  <si>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</si>
  <si>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</si>
  <si>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</si>
  <si>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</si>
  <si>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</si>
  <si>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</si>
  <si>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</si>
  <si>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</si>
  <si>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</si>
  <si>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</si>
  <si>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</si>
  <si>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</si>
  <si>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</si>
  <si>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</si>
  <si>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</si>
  <si>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</si>
  <si>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</si>
  <si>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</si>
  <si>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</si>
  <si>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</si>
  <si>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</si>
  <si>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</si>
  <si>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</si>
  <si>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</si>
  <si>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</si>
  <si>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</si>
  <si>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</si>
  <si>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</si>
  <si>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</si>
  <si>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</si>
  <si>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</si>
  <si>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</si>
  <si>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</si>
  <si>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</si>
  <si>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</si>
  <si>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</si>
  <si>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</si>
  <si>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</si>
  <si>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</si>
  <si>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</si>
  <si>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</si>
  <si>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</si>
  <si>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</si>
  <si>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</si>
  <si>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</si>
  <si>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</si>
  <si>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</si>
  <si>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</si>
  <si>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</si>
  <si>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</si>
  <si>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</si>
  <si>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</si>
  <si>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</si>
  <si>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</si>
  <si>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</si>
  <si>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</si>
  <si>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</si>
  <si>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</si>
  <si>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</si>
  <si>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</si>
  <si>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</si>
  <si>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</si>
  <si>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</si>
  <si>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</si>
  <si>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</si>
  <si>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</si>
  <si>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</si>
  <si>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</si>
  <si>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</si>
  <si>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</si>
  <si>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</si>
  <si>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</si>
  <si>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</si>
  <si>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</si>
  <si>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</si>
  <si>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</si>
  <si>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</si>
  <si>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</si>
  <si>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</si>
  <si>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</si>
  <si>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</si>
  <si>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</si>
  <si>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</si>
  <si>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</si>
  <si>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</si>
  <si>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</si>
  <si>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</si>
  <si>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</si>
  <si>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</si>
  <si>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</si>
  <si>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</si>
  <si>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</si>
  <si>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</si>
  <si>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</si>
  <si>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</si>
  <si>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</si>
  <si>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</si>
  <si>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</si>
  <si>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</si>
  <si>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</si>
  <si>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</si>
  <si>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</si>
  <si>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</si>
  <si>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</si>
  <si>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</si>
  <si>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</si>
  <si>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</si>
  <si>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</si>
  <si>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</si>
  <si>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</si>
  <si>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</si>
  <si>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</si>
  <si>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</si>
  <si>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</si>
  <si>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</si>
  <si>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</si>
  <si>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</si>
  <si>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</si>
  <si>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</si>
  <si>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</si>
  <si>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</si>
  <si>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</si>
  <si>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</si>
  <si>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</si>
  <si>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</si>
  <si>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</si>
  <si>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</si>
  <si>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</si>
  <si>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</si>
  <si>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</si>
  <si>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</si>
  <si>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</si>
  <si>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</si>
  <si>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</si>
  <si>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</si>
  <si>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</si>
  <si>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</si>
  <si>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</si>
  <si>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</si>
  <si>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</si>
  <si>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</si>
  <si>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</si>
  <si>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</si>
  <si>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</si>
  <si>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</si>
  <si>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</si>
  <si>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</si>
  <si>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</si>
  <si>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</si>
  <si>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</si>
  <si>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</si>
  <si>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</si>
  <si>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</si>
  <si>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</si>
  <si>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</si>
  <si>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</si>
  <si>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</si>
  <si>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</si>
  <si>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</si>
  <si>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</si>
  <si>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</si>
  <si>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</si>
  <si>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</si>
  <si>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</si>
  <si>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</si>
  <si>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</si>
  <si>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</si>
  <si>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</si>
  <si>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</si>
  <si>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</si>
  <si>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</si>
  <si>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</si>
  <si>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</si>
  <si>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</si>
  <si>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</si>
  <si>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</si>
  <si>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</si>
  <si>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</si>
  <si>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</si>
  <si>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</si>
  <si>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</si>
  <si>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</si>
  <si>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</si>
  <si>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</si>
  <si>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</si>
  <si>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</si>
  <si>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</si>
  <si>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</si>
  <si>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</si>
  <si>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</si>
  <si>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</si>
  <si>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</si>
  <si>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</si>
  <si>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</si>
  <si>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</si>
  <si>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</si>
  <si>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</si>
  <si>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</si>
  <si>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</si>
  <si>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</si>
  <si>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</si>
  <si>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PN01773AM</t>
  </si>
  <si>
    <t>PBI por sectores</t>
  </si>
  <si>
    <t>Producto bruto interno y demanda interna (índice 2007 = 100)</t>
  </si>
  <si>
    <t>PBI Desestacionalizado - mensual</t>
  </si>
  <si>
    <t>INEI, Ministerio de Agricultura, Ministerio de Energía y Minas, Ministerio de la Producción</t>
  </si>
  <si>
    <t>2022-03-18</t>
  </si>
  <si>
    <t>Producción</t>
  </si>
  <si>
    <t>Departamento de Indicadores de la Actividad Economía</t>
  </si>
  <si>
    <t>2025-09-19</t>
  </si>
  <si>
    <t>Ene-2003</t>
  </si>
  <si>
    <t>PN42107PM</t>
  </si>
  <si>
    <t>Inflación</t>
  </si>
  <si>
    <t xml:space="preserve">Índices de Precios al Consumidor Lima Metropolitana (Índice Dic.2021=100) - Desestacionalizados </t>
  </si>
  <si>
    <t>IPC</t>
  </si>
  <si>
    <t>2025-07-04</t>
  </si>
  <si>
    <t>Ene-2002</t>
  </si>
  <si>
    <t>Cushing OK WTI Spot Price FOB Dollars per Barrel</t>
  </si>
  <si>
    <t>Cushing OK WTI Spot Price FOB</t>
  </si>
  <si>
    <t>https://www.eia.gov/dnav/pet/hist/LeafHandler.ashx?n=PET&amp;s=RWTC&amp;f=M</t>
  </si>
  <si>
    <t>11:08:31 GMT-0500 (hora estÃ¡ndar de PerÃº)</t>
  </si>
  <si>
    <t>Data Source: Thomson Reuters</t>
  </si>
  <si>
    <t>Month</t>
  </si>
  <si>
    <t>TPCM</t>
  </si>
  <si>
    <t>PBI</t>
  </si>
  <si>
    <t>WTI</t>
  </si>
  <si>
    <t>VarlN_WTI</t>
  </si>
  <si>
    <t>LN_WTI</t>
  </si>
  <si>
    <t>LN_PBI</t>
  </si>
  <si>
    <t>VarLN_PBI</t>
  </si>
  <si>
    <t>LN_IPC</t>
  </si>
  <si>
    <t>VarLN_IPC</t>
  </si>
  <si>
    <t>INF</t>
  </si>
  <si>
    <t>CRE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</si>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</sst>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T52" sqref="T52"/>
    </sheetView>
  </sheetViews>
  <sheetFormatPr baseColWidth="10" defaultColWidth="8.88671875" defaultRowHeight="14.4" x14ac:dyDescent="0.3"/>
  <cols>
    <col min="1" max="1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</row>
    <row r="21" spans="1:2" x14ac:dyDescent="0.3">
      <c r="A21" t="s">
        <v>0</v>
      </c>
      <c r="B21" t="s">
        <v>294</v>
      </c>
    </row>
    <row r="22" spans="1:2" x14ac:dyDescent="0.3">
      <c r="A22" t="s">
        <v>2</v>
      </c>
      <c r="B22" t="s">
        <v>295</v>
      </c>
    </row>
    <row r="23" spans="1:2" x14ac:dyDescent="0.3">
      <c r="A23" t="s">
        <v>4</v>
      </c>
      <c r="B23" t="s">
        <v>296</v>
      </c>
    </row>
    <row r="24" spans="1:2" x14ac:dyDescent="0.3">
      <c r="A24" t="s">
        <v>6</v>
      </c>
      <c r="B24" t="s">
        <v>297</v>
      </c>
    </row>
    <row r="25" spans="1:2" x14ac:dyDescent="0.3">
      <c r="A25" t="s">
        <v>8</v>
      </c>
    </row>
    <row r="26" spans="1:2" x14ac:dyDescent="0.3">
      <c r="A26" t="s">
        <v>9</v>
      </c>
    </row>
    <row r="27" spans="1:2" x14ac:dyDescent="0.3">
      <c r="A27" t="s">
        <v>10</v>
      </c>
    </row>
    <row r="28" spans="1:2" x14ac:dyDescent="0.3">
      <c r="A28" t="s">
        <v>11</v>
      </c>
    </row>
    <row r="29" spans="1:2" x14ac:dyDescent="0.3">
      <c r="A29" t="s">
        <v>12</v>
      </c>
    </row>
    <row r="30" spans="1:2" x14ac:dyDescent="0.3">
      <c r="A30" t="s">
        <v>13</v>
      </c>
      <c r="B30" t="s">
        <v>298</v>
      </c>
    </row>
    <row r="31" spans="1:2" x14ac:dyDescent="0.3">
      <c r="A31" t="s">
        <v>15</v>
      </c>
      <c r="B31" t="s">
        <v>16</v>
      </c>
    </row>
    <row r="32" spans="1:2" x14ac:dyDescent="0.3">
      <c r="A32" t="s">
        <v>17</v>
      </c>
      <c r="B32" t="s">
        <v>299</v>
      </c>
    </row>
    <row r="33" spans="1:2" x14ac:dyDescent="0.3">
      <c r="A33" t="s">
        <v>19</v>
      </c>
      <c r="B33" t="s">
        <v>300</v>
      </c>
    </row>
    <row r="34" spans="1:2" x14ac:dyDescent="0.3">
      <c r="A34" t="s">
        <v>21</v>
      </c>
      <c r="B34" t="s">
        <v>301</v>
      </c>
    </row>
    <row r="35" spans="1:2" x14ac:dyDescent="0.3">
      <c r="A35" t="s">
        <v>23</v>
      </c>
      <c r="B35" t="s">
        <v>302</v>
      </c>
    </row>
    <row r="36" spans="1:2" x14ac:dyDescent="0.3">
      <c r="A36" t="s">
        <v>25</v>
      </c>
      <c r="B36" t="s">
        <v>303</v>
      </c>
    </row>
    <row r="37" spans="1:2" x14ac:dyDescent="0.3">
      <c r="A37" t="s">
        <v>27</v>
      </c>
      <c r="B37" t="s">
        <v>28</v>
      </c>
    </row>
    <row r="38" spans="1:2" x14ac:dyDescent="0.3">
      <c r="A38" t="s">
        <v>29</v>
      </c>
    </row>
    <row r="43" spans="1:2" x14ac:dyDescent="0.3">
      <c r="A43" s="3" t="s">
        <v>0</v>
      </c>
      <c r="B43" s="3" t="s">
        <v>304</v>
      </c>
    </row>
    <row r="44" spans="1:2" x14ac:dyDescent="0.3">
      <c r="A44" s="3" t="s">
        <v>2</v>
      </c>
      <c r="B44" s="3" t="s">
        <v>305</v>
      </c>
    </row>
    <row r="45" spans="1:2" x14ac:dyDescent="0.3">
      <c r="A45" s="3" t="s">
        <v>4</v>
      </c>
      <c r="B45" s="3" t="s">
        <v>306</v>
      </c>
    </row>
    <row r="46" spans="1:2" x14ac:dyDescent="0.3">
      <c r="A46" s="3" t="s">
        <v>6</v>
      </c>
      <c r="B46" s="3" t="s">
        <v>307</v>
      </c>
    </row>
    <row r="47" spans="1:2" x14ac:dyDescent="0.3">
      <c r="A47" s="3" t="s">
        <v>8</v>
      </c>
      <c r="B47" s="3"/>
    </row>
    <row r="48" spans="1:2" x14ac:dyDescent="0.3">
      <c r="A48" s="3" t="s">
        <v>9</v>
      </c>
      <c r="B48" s="3"/>
    </row>
    <row r="49" spans="1:6" x14ac:dyDescent="0.3">
      <c r="A49" s="3" t="s">
        <v>10</v>
      </c>
      <c r="B49" s="3"/>
    </row>
    <row r="50" spans="1:6" x14ac:dyDescent="0.3">
      <c r="A50" s="3" t="s">
        <v>11</v>
      </c>
      <c r="B50" s="3"/>
    </row>
    <row r="51" spans="1:6" x14ac:dyDescent="0.3">
      <c r="A51" s="3" t="s">
        <v>12</v>
      </c>
      <c r="B51" s="3"/>
    </row>
    <row r="52" spans="1:6" x14ac:dyDescent="0.3">
      <c r="A52" s="3" t="s">
        <v>13</v>
      </c>
      <c r="B52" s="3"/>
    </row>
    <row r="53" spans="1:6" x14ac:dyDescent="0.3">
      <c r="A53" s="3" t="s">
        <v>15</v>
      </c>
      <c r="B53" s="3" t="s">
        <v>16</v>
      </c>
    </row>
    <row r="54" spans="1:6" x14ac:dyDescent="0.3">
      <c r="A54" s="3" t="s">
        <v>17</v>
      </c>
      <c r="B54" s="3" t="s">
        <v>308</v>
      </c>
    </row>
    <row r="55" spans="1:6" x14ac:dyDescent="0.3">
      <c r="A55" s="3" t="s">
        <v>19</v>
      </c>
      <c r="B55" s="3" t="s">
        <v>20</v>
      </c>
    </row>
    <row r="56" spans="1:6" x14ac:dyDescent="0.3">
      <c r="A56" s="3" t="s">
        <v>21</v>
      </c>
      <c r="B56" s="3" t="s">
        <v>22</v>
      </c>
    </row>
    <row r="57" spans="1:6" x14ac:dyDescent="0.3">
      <c r="A57" s="3" t="s">
        <v>23</v>
      </c>
      <c r="B57" s="3" t="s">
        <v>24</v>
      </c>
    </row>
    <row r="58" spans="1:6" x14ac:dyDescent="0.3">
      <c r="A58" s="3" t="s">
        <v>25</v>
      </c>
      <c r="B58" s="3" t="s">
        <v>309</v>
      </c>
    </row>
    <row r="59" spans="1:6" x14ac:dyDescent="0.3">
      <c r="A59" s="3" t="s">
        <v>27</v>
      </c>
      <c r="B59" s="3" t="s">
        <v>28</v>
      </c>
    </row>
    <row r="60" spans="1:6" x14ac:dyDescent="0.3">
      <c r="A60" s="3" t="s">
        <v>29</v>
      </c>
      <c r="B60" s="3"/>
    </row>
    <row r="63" spans="1:6" x14ac:dyDescent="0.3">
      <c r="A63" s="3" t="s">
        <v>311</v>
      </c>
      <c r="B63" s="3"/>
      <c r="C63" s="3"/>
      <c r="D63" s="3"/>
      <c r="E63" s="3"/>
      <c r="F63" s="3"/>
    </row>
    <row r="64" spans="1:6" x14ac:dyDescent="0.3">
      <c r="A64" s="3" t="s">
        <v>312</v>
      </c>
      <c r="B64" s="3"/>
      <c r="C64" s="3"/>
      <c r="D64" s="3"/>
      <c r="E64" s="3"/>
      <c r="F64" s="3"/>
    </row>
    <row r="65" spans="1:6" x14ac:dyDescent="0.3">
      <c r="A65" s="3" t="s">
        <v>313</v>
      </c>
      <c r="B65" s="3"/>
      <c r="C65" s="3"/>
      <c r="D65" s="3"/>
      <c r="E65" s="3"/>
      <c r="F65" s="3"/>
    </row>
    <row r="66" spans="1:6" x14ac:dyDescent="0.3">
      <c r="A66" s="3" t="s">
        <v>314</v>
      </c>
      <c r="B66" s="3"/>
      <c r="C66" s="3"/>
      <c r="D66" s="3"/>
      <c r="E66" s="3"/>
      <c r="F66" s="3"/>
    </row>
    <row r="67" spans="1:6" x14ac:dyDescent="0.3">
      <c r="A67" s="3" t="s">
        <v>315</v>
      </c>
      <c r="B67" s="3" t="s">
        <v>310</v>
      </c>
      <c r="C67" s="3"/>
      <c r="D67" s="3"/>
      <c r="E67" s="3"/>
      <c r="F6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6"/>
  <sheetViews>
    <sheetView topLeftCell="A233" workbookViewId="0">
      <selection activeCell="A2" sqref="A2:E266"/>
    </sheetView>
  </sheetViews>
  <sheetFormatPr baseColWidth="10" defaultColWidth="8.88671875" defaultRowHeight="14.4" x14ac:dyDescent="0.3"/>
  <sheetData>
    <row r="1" spans="1:5" x14ac:dyDescent="0.3">
      <c r="B1" t="s">
        <v>1</v>
      </c>
    </row>
    <row r="2" spans="1:5" x14ac:dyDescent="0.3">
      <c r="B2" t="s">
        <v>316</v>
      </c>
      <c r="C2" t="s">
        <v>317</v>
      </c>
      <c r="D2" s="1" t="s">
        <v>307</v>
      </c>
      <c r="E2" s="3" t="s">
        <v>318</v>
      </c>
    </row>
    <row r="3" spans="1:5" x14ac:dyDescent="0.3">
      <c r="A3" t="s">
        <v>30</v>
      </c>
      <c r="B3">
        <v>0.74957440664663399</v>
      </c>
      <c r="C3" s="2">
        <v>74.997752459852705</v>
      </c>
      <c r="D3" s="1">
        <v>57.7553228722157</v>
      </c>
      <c r="E3" s="3">
        <v>32.950000000000003</v>
      </c>
    </row>
    <row r="4" spans="1:5" x14ac:dyDescent="0.3">
      <c r="A4" t="s">
        <v>31</v>
      </c>
      <c r="B4">
        <v>-0.22050825724542</v>
      </c>
      <c r="C4" s="2">
        <v>75.879351130268603</v>
      </c>
      <c r="D4" s="1">
        <v>57.966597966819499</v>
      </c>
      <c r="E4" s="3">
        <v>35.83</v>
      </c>
    </row>
    <row r="5" spans="1:5" x14ac:dyDescent="0.3">
      <c r="A5" t="s">
        <v>32</v>
      </c>
      <c r="B5">
        <v>-0.79815517020315596</v>
      </c>
      <c r="C5" s="2">
        <v>76.066410486962795</v>
      </c>
      <c r="D5" s="1">
        <v>58.349370688823797</v>
      </c>
      <c r="E5" s="3">
        <v>33.51</v>
      </c>
    </row>
    <row r="6" spans="1:5" x14ac:dyDescent="0.3">
      <c r="A6" t="s">
        <v>33</v>
      </c>
      <c r="B6">
        <v>0.38345355707810103</v>
      </c>
      <c r="C6" s="2">
        <v>76.688140230997604</v>
      </c>
      <c r="D6" s="1">
        <v>58.317056765442601</v>
      </c>
      <c r="E6" s="3">
        <v>28.17</v>
      </c>
    </row>
    <row r="7" spans="1:5" x14ac:dyDescent="0.3">
      <c r="A7" t="s">
        <v>34</v>
      </c>
      <c r="B7">
        <v>1.98292905583937</v>
      </c>
      <c r="C7" s="2">
        <v>76.860589228724905</v>
      </c>
      <c r="D7" s="1">
        <v>58.360283370787499</v>
      </c>
      <c r="E7" s="3">
        <v>28.11</v>
      </c>
    </row>
    <row r="8" spans="1:5" x14ac:dyDescent="0.3">
      <c r="A8" t="s">
        <v>35</v>
      </c>
      <c r="B8">
        <v>0.245873366358764</v>
      </c>
      <c r="C8" s="2">
        <v>77.851425168905806</v>
      </c>
      <c r="D8" s="1">
        <v>58.158485168084702</v>
      </c>
      <c r="E8" s="3">
        <v>30.66</v>
      </c>
    </row>
    <row r="9" spans="1:5" x14ac:dyDescent="0.3">
      <c r="A9" t="s">
        <v>36</v>
      </c>
      <c r="B9">
        <v>-0.57486536800070498</v>
      </c>
      <c r="C9" s="2">
        <v>77.416036856284094</v>
      </c>
      <c r="D9" s="1">
        <v>58.066242512097098</v>
      </c>
      <c r="E9" s="3">
        <v>30.76</v>
      </c>
    </row>
    <row r="10" spans="1:5" x14ac:dyDescent="0.3">
      <c r="A10" t="s">
        <v>37</v>
      </c>
      <c r="B10">
        <v>9.4736930024664004E-2</v>
      </c>
      <c r="C10" s="2">
        <v>78.129909660921598</v>
      </c>
      <c r="D10" s="1">
        <v>58.108482979688702</v>
      </c>
      <c r="E10" s="3">
        <v>31.57</v>
      </c>
    </row>
    <row r="11" spans="1:5" x14ac:dyDescent="0.3">
      <c r="A11" t="s">
        <v>38</v>
      </c>
      <c r="B11">
        <v>0.72514949731105804</v>
      </c>
      <c r="C11" s="2">
        <v>78.347350620124303</v>
      </c>
      <c r="D11" s="1">
        <v>58.431643080718402</v>
      </c>
      <c r="E11" s="3">
        <v>28.31</v>
      </c>
    </row>
    <row r="12" spans="1:5" x14ac:dyDescent="0.3">
      <c r="A12" t="s">
        <v>39</v>
      </c>
      <c r="B12">
        <v>1.3967693972272399</v>
      </c>
      <c r="C12" s="2">
        <v>78.908142343117603</v>
      </c>
      <c r="D12" s="1">
        <v>58.4880824022488</v>
      </c>
      <c r="E12" s="3">
        <v>30.34</v>
      </c>
    </row>
    <row r="13" spans="1:5" x14ac:dyDescent="0.3">
      <c r="A13" t="s">
        <v>40</v>
      </c>
      <c r="B13">
        <v>0.21739945827755999</v>
      </c>
      <c r="C13" s="2">
        <v>75.209304248958603</v>
      </c>
      <c r="D13" s="1">
        <v>58.692504457496703</v>
      </c>
      <c r="E13" s="3">
        <v>31.11</v>
      </c>
    </row>
    <row r="14" spans="1:5" x14ac:dyDescent="0.3">
      <c r="A14" t="s">
        <v>41</v>
      </c>
      <c r="B14">
        <v>0.272161042656062</v>
      </c>
      <c r="C14" s="2">
        <v>75.752133486738501</v>
      </c>
      <c r="D14" s="1">
        <v>59.009850829017601</v>
      </c>
      <c r="E14" s="3">
        <v>32.130000000000003</v>
      </c>
    </row>
    <row r="15" spans="1:5" x14ac:dyDescent="0.3">
      <c r="A15" t="s">
        <v>42</v>
      </c>
      <c r="B15">
        <v>0.81945915611543196</v>
      </c>
      <c r="C15" s="2">
        <v>78.091980471424506</v>
      </c>
      <c r="D15" s="1">
        <v>59.368258870568802</v>
      </c>
      <c r="E15" s="3">
        <v>34.31</v>
      </c>
    </row>
    <row r="16" spans="1:5" x14ac:dyDescent="0.3">
      <c r="A16" t="s">
        <v>43</v>
      </c>
      <c r="B16">
        <v>-0.63799034470282001</v>
      </c>
      <c r="C16" s="2">
        <v>78.939323878381799</v>
      </c>
      <c r="D16" s="1">
        <v>59.951628960543196</v>
      </c>
      <c r="E16" s="3">
        <v>34.69</v>
      </c>
    </row>
    <row r="17" spans="1:5" x14ac:dyDescent="0.3">
      <c r="A17" t="s">
        <v>44</v>
      </c>
      <c r="B17">
        <v>-1.0351564566307001</v>
      </c>
      <c r="C17" s="2">
        <v>79.857177095203198</v>
      </c>
      <c r="D17" s="1">
        <v>59.957814988269398</v>
      </c>
      <c r="E17" s="3">
        <v>36.74</v>
      </c>
    </row>
    <row r="18" spans="1:5" x14ac:dyDescent="0.3">
      <c r="A18" t="s">
        <v>45</v>
      </c>
      <c r="B18">
        <v>0.38636798617232898</v>
      </c>
      <c r="C18" s="2">
        <v>80.332059343300699</v>
      </c>
      <c r="D18" s="1">
        <v>59.944626557409698</v>
      </c>
      <c r="E18" s="3">
        <v>36.75</v>
      </c>
    </row>
    <row r="19" spans="1:5" x14ac:dyDescent="0.3">
      <c r="A19" t="s">
        <v>46</v>
      </c>
      <c r="B19">
        <v>-0.67518620695356302</v>
      </c>
      <c r="C19" s="2">
        <v>80.2772246303401</v>
      </c>
      <c r="D19" s="1">
        <v>60.220609794849302</v>
      </c>
      <c r="E19" s="3">
        <v>40.28</v>
      </c>
    </row>
    <row r="20" spans="1:5" x14ac:dyDescent="0.3">
      <c r="A20" t="s">
        <v>47</v>
      </c>
      <c r="B20">
        <v>-0.60603088754537704</v>
      </c>
      <c r="C20" s="2">
        <v>80.142936550905702</v>
      </c>
      <c r="D20" s="1">
        <v>60.632053642018597</v>
      </c>
      <c r="E20" s="3">
        <v>38.03</v>
      </c>
    </row>
    <row r="21" spans="1:5" x14ac:dyDescent="0.3">
      <c r="A21" t="s">
        <v>48</v>
      </c>
      <c r="B21">
        <v>-0.86079985559337402</v>
      </c>
      <c r="C21" s="2">
        <v>80.552119826206606</v>
      </c>
      <c r="D21" s="1">
        <v>60.739419988906498</v>
      </c>
      <c r="E21" s="3">
        <v>40.78</v>
      </c>
    </row>
    <row r="22" spans="1:5" x14ac:dyDescent="0.3">
      <c r="A22" t="s">
        <v>49</v>
      </c>
      <c r="B22">
        <v>-0.96555064780558297</v>
      </c>
      <c r="C22" s="2">
        <v>81.067295819655499</v>
      </c>
      <c r="D22" s="1">
        <v>60.768749056696599</v>
      </c>
      <c r="E22" s="3">
        <v>44.9</v>
      </c>
    </row>
    <row r="23" spans="1:5" x14ac:dyDescent="0.3">
      <c r="A23" t="s">
        <v>50</v>
      </c>
      <c r="B23">
        <v>-0.12529466781556201</v>
      </c>
      <c r="C23" s="2">
        <v>81.977566194810507</v>
      </c>
      <c r="D23" s="1">
        <v>60.782514398623803</v>
      </c>
      <c r="E23" s="3">
        <v>45.94</v>
      </c>
    </row>
    <row r="24" spans="1:5" x14ac:dyDescent="0.3">
      <c r="A24" t="s">
        <v>51</v>
      </c>
      <c r="B24">
        <v>-0.16960845633055899</v>
      </c>
      <c r="C24" s="2">
        <v>81.847518289262993</v>
      </c>
      <c r="D24" s="1">
        <v>60.801132984708502</v>
      </c>
      <c r="E24" s="3">
        <v>53.28</v>
      </c>
    </row>
    <row r="25" spans="1:5" x14ac:dyDescent="0.3">
      <c r="A25" t="s">
        <v>52</v>
      </c>
      <c r="B25">
        <v>0.67929924314760903</v>
      </c>
      <c r="C25" s="2">
        <v>81.527169408038503</v>
      </c>
      <c r="D25" s="1">
        <v>61.0845000463028</v>
      </c>
      <c r="E25" s="3">
        <v>48.47</v>
      </c>
    </row>
    <row r="26" spans="1:5" x14ac:dyDescent="0.3">
      <c r="A26" t="s">
        <v>53</v>
      </c>
      <c r="B26">
        <v>3.3604483504312103E-2</v>
      </c>
      <c r="C26" s="2">
        <v>82.722797148399394</v>
      </c>
      <c r="D26" s="1">
        <v>61.063111836686701</v>
      </c>
      <c r="E26" s="3">
        <v>43.15</v>
      </c>
    </row>
    <row r="27" spans="1:5" x14ac:dyDescent="0.3">
      <c r="A27" t="s">
        <v>54</v>
      </c>
      <c r="B27">
        <v>-0.34737747806381197</v>
      </c>
      <c r="C27" s="2">
        <v>83.076185978986999</v>
      </c>
      <c r="D27" s="1">
        <v>61.165660128810501</v>
      </c>
      <c r="E27" s="3">
        <v>46.84</v>
      </c>
    </row>
    <row r="28" spans="1:5" x14ac:dyDescent="0.3">
      <c r="A28" t="s">
        <v>55</v>
      </c>
      <c r="B28">
        <v>0.87751663841381999</v>
      </c>
      <c r="C28" s="2">
        <v>84.744378592949303</v>
      </c>
      <c r="D28" s="1">
        <v>60.963212162547897</v>
      </c>
      <c r="E28" s="3">
        <v>48.15</v>
      </c>
    </row>
    <row r="29" spans="1:5" x14ac:dyDescent="0.3">
      <c r="A29" t="s">
        <v>56</v>
      </c>
      <c r="B29">
        <v>-0.56354245890977095</v>
      </c>
      <c r="C29" s="2">
        <v>82.438316666307799</v>
      </c>
      <c r="D29" s="1">
        <v>61.086465312560598</v>
      </c>
      <c r="E29" s="3">
        <v>54.19</v>
      </c>
    </row>
    <row r="30" spans="1:5" x14ac:dyDescent="0.3">
      <c r="A30" t="s">
        <v>57</v>
      </c>
      <c r="B30">
        <v>-0.100215665144781</v>
      </c>
      <c r="C30" s="2">
        <v>84.537969305689899</v>
      </c>
      <c r="D30" s="1">
        <v>61.159816725552503</v>
      </c>
      <c r="E30" s="3">
        <v>52.98</v>
      </c>
    </row>
    <row r="31" spans="1:5" x14ac:dyDescent="0.3">
      <c r="A31" t="s">
        <v>58</v>
      </c>
      <c r="B31">
        <v>-0.25895325369495897</v>
      </c>
      <c r="C31" s="2">
        <v>85.404728685094497</v>
      </c>
      <c r="D31" s="1">
        <v>61.303468802347098</v>
      </c>
      <c r="E31" s="3">
        <v>49.83</v>
      </c>
    </row>
    <row r="32" spans="1:5" x14ac:dyDescent="0.3">
      <c r="A32" t="s">
        <v>59</v>
      </c>
      <c r="B32">
        <v>-1.0951296090931</v>
      </c>
      <c r="C32" s="2">
        <v>85.286356575741706</v>
      </c>
      <c r="D32" s="1">
        <v>61.534734768798501</v>
      </c>
      <c r="E32" s="3">
        <v>56.35</v>
      </c>
    </row>
    <row r="33" spans="1:5" x14ac:dyDescent="0.3">
      <c r="A33" t="s">
        <v>60</v>
      </c>
      <c r="B33">
        <v>0.13326513587143701</v>
      </c>
      <c r="C33" s="2">
        <v>85.944410965682295</v>
      </c>
      <c r="D33" s="1">
        <v>61.5844971907229</v>
      </c>
      <c r="E33" s="3">
        <v>59</v>
      </c>
    </row>
    <row r="34" spans="1:5" x14ac:dyDescent="0.3">
      <c r="A34" t="s">
        <v>61</v>
      </c>
      <c r="B34">
        <v>1.85677088349374</v>
      </c>
      <c r="C34" s="2">
        <v>85.679119551804106</v>
      </c>
      <c r="D34" s="1">
        <v>61.506705679703202</v>
      </c>
      <c r="E34" s="3">
        <v>64.989999999999995</v>
      </c>
    </row>
    <row r="35" spans="1:5" x14ac:dyDescent="0.3">
      <c r="A35" t="s">
        <v>62</v>
      </c>
      <c r="B35">
        <v>2.56880994272271</v>
      </c>
      <c r="C35" s="2">
        <v>86.524570761507405</v>
      </c>
      <c r="D35" s="1">
        <v>61.456366011873698</v>
      </c>
      <c r="E35" s="3">
        <v>65.59</v>
      </c>
    </row>
    <row r="36" spans="1:5" x14ac:dyDescent="0.3">
      <c r="A36" t="s">
        <v>63</v>
      </c>
      <c r="B36">
        <v>1.9077919982309699</v>
      </c>
      <c r="C36" s="2">
        <v>87.123428971605193</v>
      </c>
      <c r="D36" s="1">
        <v>61.582040268367003</v>
      </c>
      <c r="E36" s="3">
        <v>62.26</v>
      </c>
    </row>
    <row r="37" spans="1:5" x14ac:dyDescent="0.3">
      <c r="A37" t="s">
        <v>64</v>
      </c>
      <c r="B37">
        <v>-0.72678399485641398</v>
      </c>
      <c r="C37" s="2">
        <v>89.0875532678117</v>
      </c>
      <c r="D37" s="1">
        <v>61.733954963534401</v>
      </c>
      <c r="E37" s="3">
        <v>58.32</v>
      </c>
    </row>
    <row r="38" spans="1:5" x14ac:dyDescent="0.3">
      <c r="A38" t="s">
        <v>65</v>
      </c>
      <c r="B38">
        <v>1.2985681368323401</v>
      </c>
      <c r="C38" s="2">
        <v>87.912113186235104</v>
      </c>
      <c r="D38" s="1">
        <v>61.975019456148402</v>
      </c>
      <c r="E38" s="3">
        <v>59.41</v>
      </c>
    </row>
    <row r="39" spans="1:5" x14ac:dyDescent="0.3">
      <c r="A39" t="s">
        <v>66</v>
      </c>
      <c r="B39">
        <v>-4.0149278006564197E-2</v>
      </c>
      <c r="C39" s="2">
        <v>89.605726630936104</v>
      </c>
      <c r="D39" s="1">
        <v>62.325860488848598</v>
      </c>
      <c r="E39" s="3">
        <v>65.489999999999995</v>
      </c>
    </row>
    <row r="40" spans="1:5" x14ac:dyDescent="0.3">
      <c r="A40" t="s">
        <v>67</v>
      </c>
      <c r="B40">
        <v>-3.2055724764512799</v>
      </c>
      <c r="C40" s="2">
        <v>89.948123929291299</v>
      </c>
      <c r="D40" s="1">
        <v>62.609234651561898</v>
      </c>
      <c r="E40" s="3">
        <v>61.63</v>
      </c>
    </row>
    <row r="41" spans="1:5" x14ac:dyDescent="0.3">
      <c r="A41" t="s">
        <v>68</v>
      </c>
      <c r="B41">
        <v>1.03427871229954</v>
      </c>
      <c r="C41" s="2">
        <v>91.626606678998499</v>
      </c>
      <c r="D41" s="1">
        <v>62.616662170578302</v>
      </c>
      <c r="E41" s="3">
        <v>62.69</v>
      </c>
    </row>
    <row r="42" spans="1:5" x14ac:dyDescent="0.3">
      <c r="A42" t="s">
        <v>69</v>
      </c>
      <c r="B42">
        <v>0.108058457324139</v>
      </c>
      <c r="C42" s="2">
        <v>90.831662978657505</v>
      </c>
      <c r="D42" s="1">
        <v>62.937777103461798</v>
      </c>
      <c r="E42" s="3">
        <v>69.44</v>
      </c>
    </row>
    <row r="43" spans="1:5" x14ac:dyDescent="0.3">
      <c r="A43" t="s">
        <v>70</v>
      </c>
      <c r="B43">
        <v>-0.16129036363733701</v>
      </c>
      <c r="C43" s="2">
        <v>90.974654316576306</v>
      </c>
      <c r="D43" s="1">
        <v>62.6748289612311</v>
      </c>
      <c r="E43" s="3">
        <v>70.84</v>
      </c>
    </row>
    <row r="44" spans="1:5" x14ac:dyDescent="0.3">
      <c r="A44" t="s">
        <v>71</v>
      </c>
      <c r="B44">
        <v>-1.17520416716969</v>
      </c>
      <c r="C44" s="2">
        <v>91.8803909655891</v>
      </c>
      <c r="D44" s="1">
        <v>62.661415129600101</v>
      </c>
      <c r="E44" s="3">
        <v>70.95</v>
      </c>
    </row>
    <row r="45" spans="1:5" x14ac:dyDescent="0.3">
      <c r="A45" t="s">
        <v>72</v>
      </c>
      <c r="B45">
        <v>-0.28196654333030102</v>
      </c>
      <c r="C45" s="2">
        <v>91.539418378902397</v>
      </c>
      <c r="D45" s="1">
        <v>62.533937251036399</v>
      </c>
      <c r="E45" s="3">
        <v>74.41</v>
      </c>
    </row>
    <row r="46" spans="1:5" x14ac:dyDescent="0.3">
      <c r="A46" t="s">
        <v>73</v>
      </c>
      <c r="B46">
        <v>0.29436624295816499</v>
      </c>
      <c r="C46" s="2">
        <v>93.250601293015606</v>
      </c>
      <c r="D46" s="1">
        <v>62.649833521702398</v>
      </c>
      <c r="E46" s="3">
        <v>73.040000000000006</v>
      </c>
    </row>
    <row r="47" spans="1:5" x14ac:dyDescent="0.3">
      <c r="A47" t="s">
        <v>74</v>
      </c>
      <c r="B47">
        <v>0.59906723136962703</v>
      </c>
      <c r="C47" s="2">
        <v>92.604115085792898</v>
      </c>
      <c r="D47" s="1">
        <v>62.676933959495003</v>
      </c>
      <c r="E47" s="3">
        <v>63.8</v>
      </c>
    </row>
    <row r="48" spans="1:5" x14ac:dyDescent="0.3">
      <c r="A48" t="s">
        <v>75</v>
      </c>
      <c r="B48">
        <v>-0.21806124670983601</v>
      </c>
      <c r="C48" s="2">
        <v>93.601305904312298</v>
      </c>
      <c r="D48" s="1">
        <v>62.745058327605001</v>
      </c>
      <c r="E48" s="3">
        <v>58.89</v>
      </c>
    </row>
    <row r="49" spans="1:5" x14ac:dyDescent="0.3">
      <c r="A49" t="s">
        <v>76</v>
      </c>
      <c r="B49">
        <v>0.57831316097924201</v>
      </c>
      <c r="C49" s="2">
        <v>93.695774866349794</v>
      </c>
      <c r="D49" s="1">
        <v>62.6806054693294</v>
      </c>
      <c r="E49" s="3">
        <v>59.08</v>
      </c>
    </row>
    <row r="50" spans="1:5" x14ac:dyDescent="0.3">
      <c r="A50" t="s">
        <v>77</v>
      </c>
      <c r="B50">
        <v>0.67305574950392599</v>
      </c>
      <c r="C50" s="2">
        <v>94.634346792009495</v>
      </c>
      <c r="D50" s="1">
        <v>62.678117631265998</v>
      </c>
      <c r="E50" s="3">
        <v>61.96</v>
      </c>
    </row>
    <row r="51" spans="1:5" x14ac:dyDescent="0.3">
      <c r="A51" t="s">
        <v>78</v>
      </c>
      <c r="B51">
        <v>-0.40721446979183201</v>
      </c>
      <c r="C51" s="2">
        <v>96.231198938094593</v>
      </c>
      <c r="D51" s="1">
        <v>62.7276898601054</v>
      </c>
      <c r="E51" s="3">
        <v>54.51</v>
      </c>
    </row>
    <row r="52" spans="1:5" x14ac:dyDescent="0.3">
      <c r="A52" t="s">
        <v>79</v>
      </c>
      <c r="B52">
        <v>0.65016608623708105</v>
      </c>
      <c r="C52" s="2">
        <v>96.351605509679999</v>
      </c>
      <c r="D52" s="1">
        <v>62.835439333054097</v>
      </c>
      <c r="E52" s="3">
        <v>59.28</v>
      </c>
    </row>
    <row r="53" spans="1:5" x14ac:dyDescent="0.3">
      <c r="A53" t="s">
        <v>80</v>
      </c>
      <c r="B53">
        <v>9.6415003455277204E-2</v>
      </c>
      <c r="C53" s="2">
        <v>97.864034169469804</v>
      </c>
      <c r="D53" s="1">
        <v>62.775978824181998</v>
      </c>
      <c r="E53" s="3">
        <v>60.44</v>
      </c>
    </row>
    <row r="54" spans="1:5" x14ac:dyDescent="0.3">
      <c r="A54" t="s">
        <v>81</v>
      </c>
      <c r="B54">
        <v>0.81585836976340498</v>
      </c>
      <c r="C54" s="2">
        <v>97.4821001229232</v>
      </c>
      <c r="D54" s="1">
        <v>62.892497384684503</v>
      </c>
      <c r="E54" s="3">
        <v>63.98</v>
      </c>
    </row>
    <row r="55" spans="1:5" x14ac:dyDescent="0.3">
      <c r="A55" t="s">
        <v>82</v>
      </c>
      <c r="B55">
        <v>0.38468945712587099</v>
      </c>
      <c r="C55" s="2">
        <v>100.531587542926</v>
      </c>
      <c r="D55" s="1">
        <v>63.270806046780002</v>
      </c>
      <c r="E55" s="3">
        <v>63.46</v>
      </c>
    </row>
    <row r="56" spans="1:5" x14ac:dyDescent="0.3">
      <c r="A56" t="s">
        <v>83</v>
      </c>
      <c r="B56">
        <v>0.243611701056868</v>
      </c>
      <c r="C56" s="2">
        <v>99.565243122542896</v>
      </c>
      <c r="D56" s="1">
        <v>63.636636417468402</v>
      </c>
      <c r="E56" s="3">
        <v>67.489999999999995</v>
      </c>
    </row>
    <row r="57" spans="1:5" x14ac:dyDescent="0.3">
      <c r="A57" t="s">
        <v>84</v>
      </c>
      <c r="B57">
        <v>0.55232833754251798</v>
      </c>
      <c r="C57" s="2">
        <v>100.20515896463699</v>
      </c>
      <c r="D57" s="1">
        <v>63.9106681165729</v>
      </c>
      <c r="E57" s="3">
        <v>74.12</v>
      </c>
    </row>
    <row r="58" spans="1:5" x14ac:dyDescent="0.3">
      <c r="A58" t="s">
        <v>85</v>
      </c>
      <c r="B58">
        <v>-8.47327520806129E-2</v>
      </c>
      <c r="C58" s="2">
        <v>100.64022761230299</v>
      </c>
      <c r="D58" s="1">
        <v>64.022727701885998</v>
      </c>
      <c r="E58" s="3">
        <v>72.36</v>
      </c>
    </row>
    <row r="59" spans="1:5" x14ac:dyDescent="0.3">
      <c r="A59" t="s">
        <v>86</v>
      </c>
      <c r="B59">
        <v>-0.113523740031823</v>
      </c>
      <c r="C59" s="2">
        <v>100.947668560745</v>
      </c>
      <c r="D59" s="1">
        <v>64.427529662001106</v>
      </c>
      <c r="E59" s="3">
        <v>79.92</v>
      </c>
    </row>
    <row r="60" spans="1:5" x14ac:dyDescent="0.3">
      <c r="A60" t="s">
        <v>87</v>
      </c>
      <c r="B60">
        <v>-2.4733947369703499</v>
      </c>
      <c r="C60" s="2">
        <v>102.099911389029</v>
      </c>
      <c r="D60" s="1">
        <v>64.675239514252198</v>
      </c>
      <c r="E60" s="3">
        <v>85.8</v>
      </c>
    </row>
    <row r="61" spans="1:5" x14ac:dyDescent="0.3">
      <c r="A61" t="s">
        <v>88</v>
      </c>
      <c r="B61">
        <v>0.80803294482657995</v>
      </c>
      <c r="C61" s="2">
        <v>103.62196364272999</v>
      </c>
      <c r="D61" s="1">
        <v>64.863130394660701</v>
      </c>
      <c r="E61" s="3">
        <v>94.77</v>
      </c>
    </row>
    <row r="62" spans="1:5" x14ac:dyDescent="0.3">
      <c r="A62" t="s">
        <v>89</v>
      </c>
      <c r="B62">
        <v>-0.72545501776861998</v>
      </c>
      <c r="C62" s="2">
        <v>104.45930042492</v>
      </c>
      <c r="D62" s="1">
        <v>65.136312598631704</v>
      </c>
      <c r="E62" s="3">
        <v>91.69</v>
      </c>
    </row>
    <row r="63" spans="1:5" x14ac:dyDescent="0.3">
      <c r="A63" t="s">
        <v>90</v>
      </c>
      <c r="B63">
        <v>0.40000895712331203</v>
      </c>
      <c r="C63" s="2">
        <v>105.38251561066799</v>
      </c>
      <c r="D63" s="1">
        <v>65.328511454148298</v>
      </c>
      <c r="E63" s="3">
        <v>92.97</v>
      </c>
    </row>
    <row r="64" spans="1:5" x14ac:dyDescent="0.3">
      <c r="A64" t="s">
        <v>91</v>
      </c>
      <c r="B64">
        <v>-0.40015498579127301</v>
      </c>
      <c r="C64" s="2">
        <v>107.44462433397101</v>
      </c>
      <c r="D64" s="1">
        <v>65.867967060942206</v>
      </c>
      <c r="E64" s="3">
        <v>95.39</v>
      </c>
    </row>
    <row r="65" spans="1:5" x14ac:dyDescent="0.3">
      <c r="A65" t="s">
        <v>92</v>
      </c>
      <c r="B65">
        <v>-2.5093626722868101</v>
      </c>
      <c r="C65" s="2">
        <v>107.42254017407301</v>
      </c>
      <c r="D65" s="1">
        <v>66.258731695395895</v>
      </c>
      <c r="E65" s="3">
        <v>105.45</v>
      </c>
    </row>
    <row r="66" spans="1:5" x14ac:dyDescent="0.3">
      <c r="A66" t="s">
        <v>93</v>
      </c>
      <c r="B66">
        <v>-1.4512833926487101</v>
      </c>
      <c r="C66" s="2">
        <v>109.03315834948199</v>
      </c>
      <c r="D66" s="1">
        <v>66.369013165886003</v>
      </c>
      <c r="E66" s="3">
        <v>112.58</v>
      </c>
    </row>
    <row r="67" spans="1:5" x14ac:dyDescent="0.3">
      <c r="A67" t="s">
        <v>94</v>
      </c>
      <c r="B67">
        <v>1.5110556600618501</v>
      </c>
      <c r="C67" s="2">
        <v>108.10549104416801</v>
      </c>
      <c r="D67" s="1">
        <v>66.687361234974702</v>
      </c>
      <c r="E67" s="3">
        <v>125.4</v>
      </c>
    </row>
    <row r="68" spans="1:5" x14ac:dyDescent="0.3">
      <c r="A68" t="s">
        <v>95</v>
      </c>
      <c r="B68">
        <v>2.9519086081756201</v>
      </c>
      <c r="C68" s="2">
        <v>110.005405635176</v>
      </c>
      <c r="D68" s="1">
        <v>67.273905480146198</v>
      </c>
      <c r="E68" s="3">
        <v>133.88</v>
      </c>
    </row>
    <row r="69" spans="1:5" x14ac:dyDescent="0.3">
      <c r="A69" t="s">
        <v>96</v>
      </c>
      <c r="B69">
        <v>-1.15452166312347</v>
      </c>
      <c r="C69" s="2">
        <v>110.046749799037</v>
      </c>
      <c r="D69" s="1">
        <v>67.609343547235298</v>
      </c>
      <c r="E69" s="3">
        <v>133.37</v>
      </c>
    </row>
    <row r="70" spans="1:5" x14ac:dyDescent="0.3">
      <c r="A70" t="s">
        <v>97</v>
      </c>
      <c r="B70">
        <v>-0.35657512194132601</v>
      </c>
      <c r="C70" s="2">
        <v>109.66553715981701</v>
      </c>
      <c r="D70" s="1">
        <v>68.028877738518403</v>
      </c>
      <c r="E70" s="3">
        <v>116.67</v>
      </c>
    </row>
    <row r="71" spans="1:5" x14ac:dyDescent="0.3">
      <c r="A71" t="s">
        <v>98</v>
      </c>
      <c r="B71">
        <v>0.19322032473564399</v>
      </c>
      <c r="C71" s="2">
        <v>110.70776419330301</v>
      </c>
      <c r="D71" s="1">
        <v>68.432053520238398</v>
      </c>
      <c r="E71" s="3">
        <v>104.11</v>
      </c>
    </row>
    <row r="72" spans="1:5" x14ac:dyDescent="0.3">
      <c r="A72" t="s">
        <v>99</v>
      </c>
      <c r="B72">
        <v>-1.0753988858026999</v>
      </c>
      <c r="C72" s="2">
        <v>110.391834340431</v>
      </c>
      <c r="D72" s="1">
        <v>68.903847682019304</v>
      </c>
      <c r="E72" s="3">
        <v>76.61</v>
      </c>
    </row>
    <row r="73" spans="1:5" x14ac:dyDescent="0.3">
      <c r="A73" t="s">
        <v>100</v>
      </c>
      <c r="B73">
        <v>-1.76268037435623</v>
      </c>
      <c r="C73" s="2">
        <v>110.461720637684</v>
      </c>
      <c r="D73" s="1">
        <v>69.238719068772895</v>
      </c>
      <c r="E73" s="3">
        <v>57.31</v>
      </c>
    </row>
    <row r="74" spans="1:5" x14ac:dyDescent="0.3">
      <c r="A74" t="s">
        <v>101</v>
      </c>
      <c r="B74">
        <v>0.516783640520318</v>
      </c>
      <c r="C74" s="2">
        <v>109.30870555905599</v>
      </c>
      <c r="D74" s="1">
        <v>69.463704790221598</v>
      </c>
      <c r="E74" s="3">
        <v>41.12</v>
      </c>
    </row>
    <row r="75" spans="1:5" x14ac:dyDescent="0.3">
      <c r="A75" t="s">
        <v>102</v>
      </c>
      <c r="B75">
        <v>1.6462799148475</v>
      </c>
      <c r="C75" s="2">
        <v>110.463039360735</v>
      </c>
      <c r="D75" s="1">
        <v>69.588520714629993</v>
      </c>
      <c r="E75" s="3">
        <v>41.71</v>
      </c>
    </row>
    <row r="76" spans="1:5" x14ac:dyDescent="0.3">
      <c r="A76" t="s">
        <v>103</v>
      </c>
      <c r="B76">
        <v>1.86962275451874</v>
      </c>
      <c r="C76" s="2">
        <v>109.803682627881</v>
      </c>
      <c r="D76" s="1">
        <v>69.486970701641198</v>
      </c>
      <c r="E76" s="3">
        <v>39.090000000000003</v>
      </c>
    </row>
    <row r="77" spans="1:5" x14ac:dyDescent="0.3">
      <c r="A77" t="s">
        <v>104</v>
      </c>
      <c r="B77">
        <v>-2.6559523505525302</v>
      </c>
      <c r="C77" s="2">
        <v>108.536572804236</v>
      </c>
      <c r="D77" s="1">
        <v>69.426018634252799</v>
      </c>
      <c r="E77" s="3">
        <v>47.94</v>
      </c>
    </row>
    <row r="78" spans="1:5" x14ac:dyDescent="0.3">
      <c r="A78" t="s">
        <v>105</v>
      </c>
      <c r="B78">
        <v>-1.3292903580085</v>
      </c>
      <c r="C78" s="2">
        <v>109.43622150624699</v>
      </c>
      <c r="D78" s="1">
        <v>69.447995728884194</v>
      </c>
      <c r="E78" s="3">
        <v>49.65</v>
      </c>
    </row>
    <row r="79" spans="1:5" x14ac:dyDescent="0.3">
      <c r="A79" t="s">
        <v>106</v>
      </c>
      <c r="B79">
        <v>-1.08405701770105</v>
      </c>
      <c r="C79" s="2">
        <v>110.807453032119</v>
      </c>
      <c r="D79" s="1">
        <v>69.494860781993793</v>
      </c>
      <c r="E79" s="3">
        <v>59.03</v>
      </c>
    </row>
    <row r="80" spans="1:5" x14ac:dyDescent="0.3">
      <c r="A80" t="s">
        <v>107</v>
      </c>
      <c r="B80">
        <v>1.28503727402968</v>
      </c>
      <c r="C80" s="2">
        <v>107.013304632797</v>
      </c>
      <c r="D80" s="1">
        <v>69.337416908565302</v>
      </c>
      <c r="E80" s="3">
        <v>69.64</v>
      </c>
    </row>
    <row r="81" spans="1:5" x14ac:dyDescent="0.3">
      <c r="A81" t="s">
        <v>108</v>
      </c>
      <c r="B81">
        <v>0.91226869878747396</v>
      </c>
      <c r="C81" s="2">
        <v>108.59188418082699</v>
      </c>
      <c r="D81" s="1">
        <v>69.420123373394105</v>
      </c>
      <c r="E81" s="3">
        <v>64.150000000000006</v>
      </c>
    </row>
    <row r="82" spans="1:5" x14ac:dyDescent="0.3">
      <c r="A82" t="s">
        <v>109</v>
      </c>
      <c r="B82">
        <v>-0.86157585423917205</v>
      </c>
      <c r="C82" s="2">
        <v>110.575983864332</v>
      </c>
      <c r="D82" s="1">
        <v>69.291212185749302</v>
      </c>
      <c r="E82" s="3">
        <v>71.05</v>
      </c>
    </row>
    <row r="83" spans="1:5" x14ac:dyDescent="0.3">
      <c r="A83" t="s">
        <v>110</v>
      </c>
      <c r="B83">
        <v>-0.55202450511266099</v>
      </c>
      <c r="C83" s="2">
        <v>110.87835456001299</v>
      </c>
      <c r="D83" s="1">
        <v>69.253956910169606</v>
      </c>
      <c r="E83" s="3">
        <v>69.41</v>
      </c>
    </row>
    <row r="84" spans="1:5" x14ac:dyDescent="0.3">
      <c r="A84" t="s">
        <v>111</v>
      </c>
      <c r="B84">
        <v>-0.32072994476658201</v>
      </c>
      <c r="C84" s="2">
        <v>112.022425478777</v>
      </c>
      <c r="D84" s="1">
        <v>69.397730173893805</v>
      </c>
      <c r="E84" s="3">
        <v>75.72</v>
      </c>
    </row>
    <row r="85" spans="1:5" x14ac:dyDescent="0.3">
      <c r="A85" t="s">
        <v>112</v>
      </c>
      <c r="B85">
        <v>1.2292250859642</v>
      </c>
      <c r="C85" s="2">
        <v>113.082618871029</v>
      </c>
      <c r="D85" s="1">
        <v>69.441190172736</v>
      </c>
      <c r="E85" s="3">
        <v>77.989999999999995</v>
      </c>
    </row>
    <row r="86" spans="1:5" x14ac:dyDescent="0.3">
      <c r="A86" t="s">
        <v>113</v>
      </c>
      <c r="B86">
        <v>-0.46989902102445102</v>
      </c>
      <c r="C86" s="2">
        <v>113.70203889176</v>
      </c>
      <c r="D86" s="1">
        <v>69.635199223970901</v>
      </c>
      <c r="E86" s="3">
        <v>74.47</v>
      </c>
    </row>
    <row r="87" spans="1:5" x14ac:dyDescent="0.3">
      <c r="A87" t="s">
        <v>114</v>
      </c>
      <c r="B87">
        <v>-0.68937329756967203</v>
      </c>
      <c r="C87" s="2">
        <v>114.39982764429899</v>
      </c>
      <c r="D87" s="1">
        <v>69.892767509553707</v>
      </c>
      <c r="E87" s="3">
        <v>78.33</v>
      </c>
    </row>
    <row r="88" spans="1:5" x14ac:dyDescent="0.3">
      <c r="A88" t="s">
        <v>115</v>
      </c>
      <c r="B88">
        <v>-0.91148592034009901</v>
      </c>
      <c r="C88" s="2">
        <v>115.589852207709</v>
      </c>
      <c r="D88" s="1">
        <v>70.072949070060204</v>
      </c>
      <c r="E88" s="3">
        <v>76.39</v>
      </c>
    </row>
    <row r="89" spans="1:5" x14ac:dyDescent="0.3">
      <c r="A89" t="s">
        <v>116</v>
      </c>
      <c r="B89">
        <v>-0.34970317738805301</v>
      </c>
      <c r="C89" s="2">
        <v>117.028709400685</v>
      </c>
      <c r="D89" s="1">
        <v>69.952156970207298</v>
      </c>
      <c r="E89" s="3">
        <v>81.2</v>
      </c>
    </row>
    <row r="90" spans="1:5" x14ac:dyDescent="0.3">
      <c r="A90" t="s">
        <v>117</v>
      </c>
      <c r="B90">
        <v>0.40660689903408198</v>
      </c>
      <c r="C90" s="2">
        <v>118.193789667603</v>
      </c>
      <c r="D90" s="1">
        <v>69.978015161832403</v>
      </c>
      <c r="E90" s="3">
        <v>84.29</v>
      </c>
    </row>
    <row r="91" spans="1:5" x14ac:dyDescent="0.3">
      <c r="A91" t="s">
        <v>118</v>
      </c>
      <c r="B91">
        <v>-1.4714090495075201</v>
      </c>
      <c r="C91" s="2">
        <v>119.14704302985901</v>
      </c>
      <c r="D91" s="1">
        <v>70.222348166046302</v>
      </c>
      <c r="E91" s="3">
        <v>73.739999999999995</v>
      </c>
    </row>
    <row r="92" spans="1:5" x14ac:dyDescent="0.3">
      <c r="A92" t="s">
        <v>119</v>
      </c>
      <c r="B92">
        <v>-1.07860586369311</v>
      </c>
      <c r="C92" s="2">
        <v>121.02932226927901</v>
      </c>
      <c r="D92" s="1">
        <v>70.480201152504705</v>
      </c>
      <c r="E92" s="3">
        <v>75.34</v>
      </c>
    </row>
    <row r="93" spans="1:5" x14ac:dyDescent="0.3">
      <c r="A93" t="s">
        <v>120</v>
      </c>
      <c r="B93">
        <v>0.53381905588582101</v>
      </c>
      <c r="C93" s="2">
        <v>119.780840139849</v>
      </c>
      <c r="D93" s="1">
        <v>70.681647590576205</v>
      </c>
      <c r="E93" s="3">
        <v>76.319999999999993</v>
      </c>
    </row>
    <row r="94" spans="1:5" x14ac:dyDescent="0.3">
      <c r="A94" t="s">
        <v>121</v>
      </c>
      <c r="B94">
        <v>-0.16776401887950401</v>
      </c>
      <c r="C94" s="2">
        <v>120.121507079144</v>
      </c>
      <c r="D94" s="1">
        <v>70.879938299269</v>
      </c>
      <c r="E94" s="3">
        <v>76.599999999999994</v>
      </c>
    </row>
    <row r="95" spans="1:5" x14ac:dyDescent="0.3">
      <c r="A95" t="s">
        <v>122</v>
      </c>
      <c r="B95">
        <v>0.826785431907616</v>
      </c>
      <c r="C95" s="2">
        <v>121.856701843058</v>
      </c>
      <c r="D95" s="1">
        <v>70.885838711637106</v>
      </c>
      <c r="E95" s="3">
        <v>75.239999999999995</v>
      </c>
    </row>
    <row r="96" spans="1:5" x14ac:dyDescent="0.3">
      <c r="A96" t="s">
        <v>123</v>
      </c>
      <c r="B96">
        <v>2.5476937715216201</v>
      </c>
      <c r="C96" s="2">
        <v>122.723514729793</v>
      </c>
      <c r="D96" s="1">
        <v>70.853004077919806</v>
      </c>
      <c r="E96" s="3">
        <v>81.89</v>
      </c>
    </row>
    <row r="97" spans="1:5" x14ac:dyDescent="0.3">
      <c r="A97" t="s">
        <v>124</v>
      </c>
      <c r="B97">
        <v>0.69865683611639695</v>
      </c>
      <c r="C97" s="2">
        <v>122.933216135346</v>
      </c>
      <c r="D97" s="1">
        <v>70.981819308949397</v>
      </c>
      <c r="E97" s="3">
        <v>84.25</v>
      </c>
    </row>
    <row r="98" spans="1:5" x14ac:dyDescent="0.3">
      <c r="A98" t="s">
        <v>125</v>
      </c>
      <c r="B98">
        <v>0.19645196386498701</v>
      </c>
      <c r="C98" s="2">
        <v>121.666213221587</v>
      </c>
      <c r="D98" s="1">
        <v>71.081342577352899</v>
      </c>
      <c r="E98" s="3">
        <v>89.15</v>
      </c>
    </row>
    <row r="99" spans="1:5" x14ac:dyDescent="0.3">
      <c r="A99" t="s">
        <v>126</v>
      </c>
      <c r="B99">
        <v>-0.102557839157062</v>
      </c>
      <c r="C99" s="2">
        <v>124.889865475623</v>
      </c>
      <c r="D99" s="1">
        <v>71.414048496973095</v>
      </c>
      <c r="E99" s="3">
        <v>89.17</v>
      </c>
    </row>
    <row r="100" spans="1:5" x14ac:dyDescent="0.3">
      <c r="A100" t="s">
        <v>127</v>
      </c>
      <c r="B100">
        <v>0.18255573374942199</v>
      </c>
      <c r="C100" s="2">
        <v>124.835906105516</v>
      </c>
      <c r="D100" s="1">
        <v>71.646270054129602</v>
      </c>
      <c r="E100" s="3">
        <v>88.58</v>
      </c>
    </row>
    <row r="101" spans="1:5" x14ac:dyDescent="0.3">
      <c r="A101" t="s">
        <v>128</v>
      </c>
      <c r="B101">
        <v>0.54149045528310602</v>
      </c>
      <c r="C101" s="2">
        <v>125.825192282804</v>
      </c>
      <c r="D101" s="1">
        <v>71.816746829473601</v>
      </c>
      <c r="E101" s="3">
        <v>102.86</v>
      </c>
    </row>
    <row r="102" spans="1:5" x14ac:dyDescent="0.3">
      <c r="A102" t="s">
        <v>129</v>
      </c>
      <c r="B102">
        <v>2.1325638468477801</v>
      </c>
      <c r="C102" s="2">
        <v>127.349032143884</v>
      </c>
      <c r="D102" s="1">
        <v>72.312914623759696</v>
      </c>
      <c r="E102" s="3">
        <v>109.53</v>
      </c>
    </row>
    <row r="103" spans="1:5" x14ac:dyDescent="0.3">
      <c r="A103" t="s">
        <v>130</v>
      </c>
      <c r="B103">
        <v>-1.0310357739092399</v>
      </c>
      <c r="C103" s="2">
        <v>125.752445803992</v>
      </c>
      <c r="D103" s="1">
        <v>72.377549148320796</v>
      </c>
      <c r="E103" s="3">
        <v>100.9</v>
      </c>
    </row>
    <row r="104" spans="1:5" x14ac:dyDescent="0.3">
      <c r="A104" t="s">
        <v>131</v>
      </c>
      <c r="B104">
        <v>-4.71097961197776E-2</v>
      </c>
      <c r="C104" s="2">
        <v>125.03839239636901</v>
      </c>
      <c r="D104" s="1">
        <v>72.536134497355604</v>
      </c>
      <c r="E104" s="3">
        <v>96.26</v>
      </c>
    </row>
    <row r="105" spans="1:5" x14ac:dyDescent="0.3">
      <c r="A105" t="s">
        <v>132</v>
      </c>
      <c r="B105">
        <v>-0.82468069825116297</v>
      </c>
      <c r="C105" s="2">
        <v>127.530516512549</v>
      </c>
      <c r="D105" s="1">
        <v>73.048330859930005</v>
      </c>
      <c r="E105" s="3">
        <v>97.3</v>
      </c>
    </row>
    <row r="106" spans="1:5" x14ac:dyDescent="0.3">
      <c r="A106" t="s">
        <v>133</v>
      </c>
      <c r="B106">
        <v>3.0346311264413901E-2</v>
      </c>
      <c r="C106" s="2">
        <v>127.458590561908</v>
      </c>
      <c r="D106" s="1">
        <v>73.243950508704899</v>
      </c>
      <c r="E106" s="3">
        <v>86.33</v>
      </c>
    </row>
    <row r="107" spans="1:5" x14ac:dyDescent="0.3">
      <c r="A107" t="s">
        <v>134</v>
      </c>
      <c r="B107">
        <v>-1.5308283054715</v>
      </c>
      <c r="C107" s="2">
        <v>127.781772305931</v>
      </c>
      <c r="D107" s="1">
        <v>73.521679439986102</v>
      </c>
      <c r="E107" s="3">
        <v>85.52</v>
      </c>
    </row>
    <row r="108" spans="1:5" x14ac:dyDescent="0.3">
      <c r="A108" t="s">
        <v>135</v>
      </c>
      <c r="B108">
        <v>-1.3760142397312101</v>
      </c>
      <c r="C108" s="2">
        <v>127.750778240082</v>
      </c>
      <c r="D108" s="1">
        <v>73.8293995175802</v>
      </c>
      <c r="E108" s="3">
        <v>86.32</v>
      </c>
    </row>
    <row r="109" spans="1:5" x14ac:dyDescent="0.3">
      <c r="A109" t="s">
        <v>136</v>
      </c>
      <c r="B109">
        <v>-1.6302144989562799</v>
      </c>
      <c r="C109" s="2">
        <v>128.80007278894701</v>
      </c>
      <c r="D109" s="1">
        <v>74.275527851022005</v>
      </c>
      <c r="E109" s="3">
        <v>97.16</v>
      </c>
    </row>
    <row r="110" spans="1:5" x14ac:dyDescent="0.3">
      <c r="A110" t="s">
        <v>137</v>
      </c>
      <c r="B110">
        <v>-1.24487654153758</v>
      </c>
      <c r="C110" s="2">
        <v>132.17188437384999</v>
      </c>
      <c r="D110" s="1">
        <v>74.447146149686006</v>
      </c>
      <c r="E110" s="3">
        <v>98.56</v>
      </c>
    </row>
    <row r="111" spans="1:5" x14ac:dyDescent="0.3">
      <c r="A111" t="s">
        <v>138</v>
      </c>
      <c r="B111">
        <v>1.10348947629086</v>
      </c>
      <c r="C111" s="2">
        <v>131.243510142454</v>
      </c>
      <c r="D111" s="1">
        <v>74.432997550772001</v>
      </c>
      <c r="E111" s="3">
        <v>100.27</v>
      </c>
    </row>
    <row r="112" spans="1:5" x14ac:dyDescent="0.3">
      <c r="A112" t="s">
        <v>139</v>
      </c>
      <c r="B112">
        <v>0.81256157176755806</v>
      </c>
      <c r="C112" s="2">
        <v>131.18409775821101</v>
      </c>
      <c r="D112" s="1">
        <v>74.638481682206006</v>
      </c>
      <c r="E112" s="3">
        <v>102.2</v>
      </c>
    </row>
    <row r="113" spans="1:5" x14ac:dyDescent="0.3">
      <c r="A113" t="s">
        <v>140</v>
      </c>
      <c r="B113">
        <v>-1.3738680137473001</v>
      </c>
      <c r="C113" s="2">
        <v>133.49426856103901</v>
      </c>
      <c r="D113" s="1">
        <v>74.855338797115394</v>
      </c>
      <c r="E113" s="3">
        <v>106.16</v>
      </c>
    </row>
    <row r="114" spans="1:5" x14ac:dyDescent="0.3">
      <c r="A114" t="s">
        <v>141</v>
      </c>
      <c r="B114">
        <v>-1.1286644532788499</v>
      </c>
      <c r="C114" s="2">
        <v>131.51657880984399</v>
      </c>
      <c r="D114" s="1">
        <v>75.262294867523394</v>
      </c>
      <c r="E114" s="3">
        <v>103.32</v>
      </c>
    </row>
    <row r="115" spans="1:5" x14ac:dyDescent="0.3">
      <c r="A115" t="s">
        <v>142</v>
      </c>
      <c r="B115">
        <v>-0.85510594350917102</v>
      </c>
      <c r="C115" s="2">
        <v>134.85731720953299</v>
      </c>
      <c r="D115" s="1">
        <v>75.376716715571504</v>
      </c>
      <c r="E115" s="3">
        <v>94.66</v>
      </c>
    </row>
    <row r="116" spans="1:5" x14ac:dyDescent="0.3">
      <c r="A116" t="s">
        <v>143</v>
      </c>
      <c r="B116">
        <v>-1.0360015313489299</v>
      </c>
      <c r="C116" s="2">
        <v>135.20806276366801</v>
      </c>
      <c r="D116" s="1">
        <v>75.441372374713495</v>
      </c>
      <c r="E116" s="3">
        <v>82.3</v>
      </c>
    </row>
    <row r="117" spans="1:5" x14ac:dyDescent="0.3">
      <c r="A117" t="s">
        <v>144</v>
      </c>
      <c r="B117">
        <v>-1.1758635994161</v>
      </c>
      <c r="C117" s="2">
        <v>135.67194262233599</v>
      </c>
      <c r="D117" s="1">
        <v>75.440492215267597</v>
      </c>
      <c r="E117" s="3">
        <v>87.9</v>
      </c>
    </row>
    <row r="118" spans="1:5" x14ac:dyDescent="0.3">
      <c r="A118" t="s">
        <v>145</v>
      </c>
      <c r="B118">
        <v>-0.46325354779088401</v>
      </c>
      <c r="C118" s="2">
        <v>136.32197869958301</v>
      </c>
      <c r="D118" s="1">
        <v>75.818033289799502</v>
      </c>
      <c r="E118" s="3">
        <v>94.13</v>
      </c>
    </row>
    <row r="119" spans="1:5" x14ac:dyDescent="0.3">
      <c r="A119" t="s">
        <v>146</v>
      </c>
      <c r="B119">
        <v>0.12734557982862099</v>
      </c>
      <c r="C119" s="2">
        <v>137.13340738008</v>
      </c>
      <c r="D119" s="1">
        <v>76.267390980008599</v>
      </c>
      <c r="E119" s="3">
        <v>94.51</v>
      </c>
    </row>
    <row r="120" spans="1:5" x14ac:dyDescent="0.3">
      <c r="A120" t="s">
        <v>147</v>
      </c>
      <c r="B120">
        <v>6.99748874554314E-2</v>
      </c>
      <c r="C120" s="2">
        <v>136.64081680836301</v>
      </c>
      <c r="D120" s="1">
        <v>76.227501520347701</v>
      </c>
      <c r="E120" s="3">
        <v>89.49</v>
      </c>
    </row>
    <row r="121" spans="1:5" x14ac:dyDescent="0.3">
      <c r="A121" t="s">
        <v>148</v>
      </c>
      <c r="B121">
        <v>7.4904584855138803E-2</v>
      </c>
      <c r="C121" s="2">
        <v>136.55878758152099</v>
      </c>
      <c r="D121" s="1">
        <v>76.254351292655102</v>
      </c>
      <c r="E121" s="3">
        <v>86.53</v>
      </c>
    </row>
    <row r="122" spans="1:5" x14ac:dyDescent="0.3">
      <c r="A122" t="s">
        <v>149</v>
      </c>
      <c r="B122">
        <v>-0.96580307032291302</v>
      </c>
      <c r="C122" s="2">
        <v>136.73552118986001</v>
      </c>
      <c r="D122" s="1">
        <v>76.418986210489507</v>
      </c>
      <c r="E122" s="3">
        <v>87.86</v>
      </c>
    </row>
    <row r="123" spans="1:5" x14ac:dyDescent="0.3">
      <c r="A123" t="s">
        <v>150</v>
      </c>
      <c r="B123">
        <v>-3.03332411809808E-2</v>
      </c>
      <c r="C123" s="2">
        <v>139.70985528842701</v>
      </c>
      <c r="D123" s="1">
        <v>76.571836447038507</v>
      </c>
      <c r="E123" s="3">
        <v>94.76</v>
      </c>
    </row>
    <row r="124" spans="1:5" x14ac:dyDescent="0.3">
      <c r="A124" t="s">
        <v>151</v>
      </c>
      <c r="B124">
        <v>1.71814347794273</v>
      </c>
      <c r="C124" s="2">
        <v>140.15033667035999</v>
      </c>
      <c r="D124" s="1">
        <v>76.473123456864698</v>
      </c>
      <c r="E124" s="3">
        <v>95.31</v>
      </c>
    </row>
    <row r="125" spans="1:5" x14ac:dyDescent="0.3">
      <c r="A125" t="s">
        <v>152</v>
      </c>
      <c r="B125">
        <v>-1.0389001684231101</v>
      </c>
      <c r="C125" s="2">
        <v>140.87640263900599</v>
      </c>
      <c r="D125" s="1">
        <v>76.794206725277903</v>
      </c>
      <c r="E125" s="3">
        <v>92.94</v>
      </c>
    </row>
    <row r="126" spans="1:5" x14ac:dyDescent="0.3">
      <c r="A126" t="s">
        <v>153</v>
      </c>
      <c r="B126">
        <v>0.122529325615687</v>
      </c>
      <c r="C126" s="2">
        <v>140.371376799139</v>
      </c>
      <c r="D126" s="1">
        <v>77.001623861752506</v>
      </c>
      <c r="E126" s="3">
        <v>92.02</v>
      </c>
    </row>
    <row r="127" spans="1:5" x14ac:dyDescent="0.3">
      <c r="A127" t="s">
        <v>154</v>
      </c>
      <c r="B127">
        <v>1.38913529777839</v>
      </c>
      <c r="C127" s="2">
        <v>141.08840011370401</v>
      </c>
      <c r="D127" s="1">
        <v>77.236424321260301</v>
      </c>
      <c r="E127" s="3">
        <v>94.51</v>
      </c>
    </row>
    <row r="128" spans="1:5" x14ac:dyDescent="0.3">
      <c r="A128" t="s">
        <v>155</v>
      </c>
      <c r="B128">
        <v>3.29299969828834</v>
      </c>
      <c r="C128" s="2">
        <v>143.55684291987899</v>
      </c>
      <c r="D128" s="1">
        <v>77.533927207797007</v>
      </c>
      <c r="E128" s="3">
        <v>95.77</v>
      </c>
    </row>
    <row r="129" spans="1:5" x14ac:dyDescent="0.3">
      <c r="A129" t="s">
        <v>156</v>
      </c>
      <c r="B129">
        <v>0.14216463170816601</v>
      </c>
      <c r="C129" s="2">
        <v>143.09365561706099</v>
      </c>
      <c r="D129" s="1">
        <v>77.882746000135597</v>
      </c>
      <c r="E129" s="3">
        <v>104.67</v>
      </c>
    </row>
    <row r="130" spans="1:5" x14ac:dyDescent="0.3">
      <c r="A130" t="s">
        <v>157</v>
      </c>
      <c r="B130">
        <v>0.500746713460403</v>
      </c>
      <c r="C130" s="2">
        <v>144.205279337543</v>
      </c>
      <c r="D130" s="1">
        <v>78.294157865603395</v>
      </c>
      <c r="E130" s="3">
        <v>106.57</v>
      </c>
    </row>
    <row r="131" spans="1:5" x14ac:dyDescent="0.3">
      <c r="A131" t="s">
        <v>158</v>
      </c>
      <c r="B131">
        <v>-0.20921517748346499</v>
      </c>
      <c r="C131" s="2">
        <v>143.31856505518601</v>
      </c>
      <c r="D131" s="1">
        <v>78.425075334682006</v>
      </c>
      <c r="E131" s="3">
        <v>106.29</v>
      </c>
    </row>
    <row r="132" spans="1:5" x14ac:dyDescent="0.3">
      <c r="A132" t="s">
        <v>159</v>
      </c>
      <c r="B132">
        <v>0.60464716475508595</v>
      </c>
      <c r="C132" s="2">
        <v>144.85809021555301</v>
      </c>
      <c r="D132" s="1">
        <v>78.546408736546894</v>
      </c>
      <c r="E132" s="3">
        <v>100.54</v>
      </c>
    </row>
    <row r="133" spans="1:5" x14ac:dyDescent="0.3">
      <c r="A133" t="s">
        <v>160</v>
      </c>
      <c r="B133">
        <v>0.61798780042495904</v>
      </c>
      <c r="C133" s="2">
        <v>146.79956221196301</v>
      </c>
      <c r="D133" s="1">
        <v>78.509391325480294</v>
      </c>
      <c r="E133" s="3">
        <v>93.86</v>
      </c>
    </row>
    <row r="134" spans="1:5" x14ac:dyDescent="0.3">
      <c r="A134" t="s">
        <v>161</v>
      </c>
      <c r="B134">
        <v>-0.46339720332456902</v>
      </c>
      <c r="C134" s="2">
        <v>145.44662114066301</v>
      </c>
      <c r="D134" s="1">
        <v>78.603407322036702</v>
      </c>
      <c r="E134" s="3">
        <v>97.63</v>
      </c>
    </row>
    <row r="135" spans="1:5" x14ac:dyDescent="0.3">
      <c r="A135" t="s">
        <v>162</v>
      </c>
      <c r="B135">
        <v>0.58149692070534797</v>
      </c>
      <c r="C135" s="2">
        <v>145.58529701724399</v>
      </c>
      <c r="D135" s="1">
        <v>78.919859028009</v>
      </c>
      <c r="E135" s="3">
        <v>94.62</v>
      </c>
    </row>
    <row r="136" spans="1:5" x14ac:dyDescent="0.3">
      <c r="A136" t="s">
        <v>163</v>
      </c>
      <c r="B136">
        <v>-0.30451740896955098</v>
      </c>
      <c r="C136" s="2">
        <v>147.26298949034501</v>
      </c>
      <c r="D136" s="1">
        <v>79.364259041840498</v>
      </c>
      <c r="E136" s="3">
        <v>100.82</v>
      </c>
    </row>
    <row r="137" spans="1:5" x14ac:dyDescent="0.3">
      <c r="A137" t="s">
        <v>164</v>
      </c>
      <c r="B137">
        <v>-0.38122772743586297</v>
      </c>
      <c r="C137" s="2">
        <v>146.14403041086601</v>
      </c>
      <c r="D137" s="1">
        <v>79.384168297208205</v>
      </c>
      <c r="E137" s="3">
        <v>100.8</v>
      </c>
    </row>
    <row r="138" spans="1:5" x14ac:dyDescent="0.3">
      <c r="A138" t="s">
        <v>165</v>
      </c>
      <c r="B138">
        <v>-0.26473750315162298</v>
      </c>
      <c r="C138" s="2">
        <v>146.66843223995301</v>
      </c>
      <c r="D138" s="1">
        <v>79.716222511643906</v>
      </c>
      <c r="E138" s="3">
        <v>102.07</v>
      </c>
    </row>
    <row r="139" spans="1:5" x14ac:dyDescent="0.3">
      <c r="A139" t="s">
        <v>166</v>
      </c>
      <c r="B139">
        <v>-0.112425016150572</v>
      </c>
      <c r="C139" s="2">
        <v>145.60776516669699</v>
      </c>
      <c r="D139" s="1">
        <v>79.983307003459004</v>
      </c>
      <c r="E139" s="3">
        <v>102.18</v>
      </c>
    </row>
    <row r="140" spans="1:5" x14ac:dyDescent="0.3">
      <c r="A140" t="s">
        <v>167</v>
      </c>
      <c r="B140">
        <v>8.7216560184208605E-2</v>
      </c>
      <c r="C140" s="2">
        <v>144.14033576006199</v>
      </c>
      <c r="D140" s="1">
        <v>80.210704088408207</v>
      </c>
      <c r="E140" s="3">
        <v>105.79</v>
      </c>
    </row>
    <row r="141" spans="1:5" x14ac:dyDescent="0.3">
      <c r="A141" t="s">
        <v>168</v>
      </c>
      <c r="B141">
        <v>-0.72797325875961605</v>
      </c>
      <c r="C141" s="2">
        <v>145.83555875869399</v>
      </c>
      <c r="D141" s="1">
        <v>80.475620229241599</v>
      </c>
      <c r="E141" s="3">
        <v>103.59</v>
      </c>
    </row>
    <row r="142" spans="1:5" x14ac:dyDescent="0.3">
      <c r="A142" t="s">
        <v>169</v>
      </c>
      <c r="B142">
        <v>0.65071721659535797</v>
      </c>
      <c r="C142" s="2">
        <v>146.17840180520199</v>
      </c>
      <c r="D142" s="1">
        <v>80.391554728417802</v>
      </c>
      <c r="E142" s="3">
        <v>96.54</v>
      </c>
    </row>
    <row r="143" spans="1:5" x14ac:dyDescent="0.3">
      <c r="A143" t="s">
        <v>170</v>
      </c>
      <c r="B143">
        <v>0.99665659954435404</v>
      </c>
      <c r="C143" s="2">
        <v>146.63656727328399</v>
      </c>
      <c r="D143" s="1">
        <v>80.574427728317005</v>
      </c>
      <c r="E143" s="3">
        <v>93.21</v>
      </c>
    </row>
    <row r="144" spans="1:5" x14ac:dyDescent="0.3">
      <c r="A144" t="s">
        <v>171</v>
      </c>
      <c r="B144">
        <v>0.33313801382416502</v>
      </c>
      <c r="C144" s="2">
        <v>147.97833693848801</v>
      </c>
      <c r="D144" s="1">
        <v>80.976671306990397</v>
      </c>
      <c r="E144" s="3">
        <v>84.4</v>
      </c>
    </row>
    <row r="145" spans="1:5" x14ac:dyDescent="0.3">
      <c r="A145" t="s">
        <v>172</v>
      </c>
      <c r="B145">
        <v>-0.374295829211577</v>
      </c>
      <c r="C145" s="2">
        <v>147.067256030675</v>
      </c>
      <c r="D145" s="1">
        <v>80.989781171018905</v>
      </c>
      <c r="E145" s="3">
        <v>75.790000000000006</v>
      </c>
    </row>
    <row r="146" spans="1:5" x14ac:dyDescent="0.3">
      <c r="A146" t="s">
        <v>173</v>
      </c>
      <c r="B146">
        <v>3.3369257430976497E-2</v>
      </c>
      <c r="C146" s="2">
        <v>146.09515218920501</v>
      </c>
      <c r="D146" s="1">
        <v>81.133683819124101</v>
      </c>
      <c r="E146" s="3">
        <v>59.29</v>
      </c>
    </row>
    <row r="147" spans="1:5" x14ac:dyDescent="0.3">
      <c r="A147" t="s">
        <v>174</v>
      </c>
      <c r="B147">
        <v>0.48425351301642899</v>
      </c>
      <c r="C147" s="2">
        <v>148.29246732116599</v>
      </c>
      <c r="D147" s="1">
        <v>81.343623514030597</v>
      </c>
      <c r="E147" s="3">
        <v>47.22</v>
      </c>
    </row>
    <row r="148" spans="1:5" x14ac:dyDescent="0.3">
      <c r="A148" t="s">
        <v>175</v>
      </c>
      <c r="B148">
        <v>2.05080269261668</v>
      </c>
      <c r="C148" s="2">
        <v>149.03365737366801</v>
      </c>
      <c r="D148" s="1">
        <v>81.565051120963304</v>
      </c>
      <c r="E148" s="3">
        <v>50.58</v>
      </c>
    </row>
    <row r="149" spans="1:5" x14ac:dyDescent="0.3">
      <c r="A149" t="s">
        <v>176</v>
      </c>
      <c r="B149">
        <v>-1.7596029735170799</v>
      </c>
      <c r="C149" s="2">
        <v>150.08392605034399</v>
      </c>
      <c r="D149" s="1">
        <v>81.776477330609595</v>
      </c>
      <c r="E149" s="3">
        <v>47.82</v>
      </c>
    </row>
    <row r="150" spans="1:5" x14ac:dyDescent="0.3">
      <c r="A150" t="s">
        <v>177</v>
      </c>
      <c r="B150">
        <v>1.1764679369182001</v>
      </c>
      <c r="C150" s="2">
        <v>152.757111022326</v>
      </c>
      <c r="D150" s="1">
        <v>82.123446194537493</v>
      </c>
      <c r="E150" s="3">
        <v>54.45</v>
      </c>
    </row>
    <row r="151" spans="1:5" x14ac:dyDescent="0.3">
      <c r="A151" t="s">
        <v>178</v>
      </c>
      <c r="B151">
        <v>1.17293064395833</v>
      </c>
      <c r="C151" s="2">
        <v>148.15508390705901</v>
      </c>
      <c r="D151" s="1">
        <v>82.677960114787894</v>
      </c>
      <c r="E151" s="3">
        <v>59.27</v>
      </c>
    </row>
    <row r="152" spans="1:5" x14ac:dyDescent="0.3">
      <c r="A152" t="s">
        <v>179</v>
      </c>
      <c r="B152">
        <v>-0.31590514075915399</v>
      </c>
      <c r="C152" s="2">
        <v>150.31925761964999</v>
      </c>
      <c r="D152" s="1">
        <v>83.058638169152204</v>
      </c>
      <c r="E152" s="3">
        <v>59.82</v>
      </c>
    </row>
    <row r="153" spans="1:5" x14ac:dyDescent="0.3">
      <c r="A153" t="s">
        <v>180</v>
      </c>
      <c r="B153">
        <v>-0.55385429372920802</v>
      </c>
      <c r="C153" s="2">
        <v>151.25115265266601</v>
      </c>
      <c r="D153" s="1">
        <v>83.344245587177696</v>
      </c>
      <c r="E153" s="3">
        <v>50.9</v>
      </c>
    </row>
    <row r="154" spans="1:5" x14ac:dyDescent="0.3">
      <c r="A154" t="s">
        <v>181</v>
      </c>
      <c r="B154">
        <v>-0.55648829370655695</v>
      </c>
      <c r="C154" s="2">
        <v>150.01453042534899</v>
      </c>
      <c r="D154" s="1">
        <v>83.636771267008299</v>
      </c>
      <c r="E154" s="3">
        <v>42.87</v>
      </c>
    </row>
    <row r="155" spans="1:5" x14ac:dyDescent="0.3">
      <c r="A155" t="s">
        <v>182</v>
      </c>
      <c r="B155">
        <v>-1.5149453745680801</v>
      </c>
      <c r="C155" s="2">
        <v>151.15084900171399</v>
      </c>
      <c r="D155" s="1">
        <v>83.721944719701895</v>
      </c>
      <c r="E155" s="3">
        <v>45.48</v>
      </c>
    </row>
    <row r="156" spans="1:5" x14ac:dyDescent="0.3">
      <c r="A156" t="s">
        <v>183</v>
      </c>
      <c r="B156">
        <v>1.3070008682752501</v>
      </c>
      <c r="C156" s="2">
        <v>153.22867535761901</v>
      </c>
      <c r="D156" s="1">
        <v>83.946777558040196</v>
      </c>
      <c r="E156" s="3">
        <v>46.22</v>
      </c>
    </row>
    <row r="157" spans="1:5" x14ac:dyDescent="0.3">
      <c r="A157" t="s">
        <v>184</v>
      </c>
      <c r="B157">
        <v>1.44242414271916</v>
      </c>
      <c r="C157" s="2">
        <v>152.47349347342501</v>
      </c>
      <c r="D157" s="1">
        <v>84.368404264459897</v>
      </c>
      <c r="E157" s="3">
        <v>42.44</v>
      </c>
    </row>
    <row r="158" spans="1:5" x14ac:dyDescent="0.3">
      <c r="A158" t="s">
        <v>185</v>
      </c>
      <c r="B158">
        <v>0.15208974627729199</v>
      </c>
      <c r="C158" s="2">
        <v>154.984924135613</v>
      </c>
      <c r="D158" s="1">
        <v>84.695439639387203</v>
      </c>
      <c r="E158" s="3">
        <v>37.19</v>
      </c>
    </row>
    <row r="159" spans="1:5" x14ac:dyDescent="0.3">
      <c r="A159" t="s">
        <v>186</v>
      </c>
      <c r="B159">
        <v>5.6285191136636901E-2</v>
      </c>
      <c r="C159" s="2">
        <v>153.92319456798899</v>
      </c>
      <c r="D159" s="1">
        <v>85.088525620195895</v>
      </c>
      <c r="E159" s="3">
        <v>31.68</v>
      </c>
    </row>
    <row r="160" spans="1:5" x14ac:dyDescent="0.3">
      <c r="A160" t="s">
        <v>187</v>
      </c>
      <c r="B160">
        <v>3.1876126654266201</v>
      </c>
      <c r="C160" s="2">
        <v>155.876779665724</v>
      </c>
      <c r="D160" s="1">
        <v>85.215443176454201</v>
      </c>
      <c r="E160" s="3">
        <v>30.32</v>
      </c>
    </row>
    <row r="161" spans="1:5" x14ac:dyDescent="0.3">
      <c r="A161" t="s">
        <v>188</v>
      </c>
      <c r="B161">
        <v>-2.0550813293226202</v>
      </c>
      <c r="C161" s="2">
        <v>157.79552763875299</v>
      </c>
      <c r="D161" s="1">
        <v>85.284670388759295</v>
      </c>
      <c r="E161" s="3">
        <v>37.549999999999997</v>
      </c>
    </row>
    <row r="162" spans="1:5" x14ac:dyDescent="0.3">
      <c r="A162" t="s">
        <v>189</v>
      </c>
      <c r="B162">
        <v>-1.75453155848371</v>
      </c>
      <c r="C162" s="2">
        <v>155.13450861016199</v>
      </c>
      <c r="D162" s="1">
        <v>85.331601486517101</v>
      </c>
      <c r="E162" s="3">
        <v>40.75</v>
      </c>
    </row>
    <row r="163" spans="1:5" x14ac:dyDescent="0.3">
      <c r="A163" t="s">
        <v>190</v>
      </c>
      <c r="B163">
        <v>0.35092576451204199</v>
      </c>
      <c r="C163" s="2">
        <v>154.45503381396</v>
      </c>
      <c r="D163" s="1">
        <v>85.608374108105806</v>
      </c>
      <c r="E163" s="3">
        <v>46.71</v>
      </c>
    </row>
    <row r="164" spans="1:5" x14ac:dyDescent="0.3">
      <c r="A164" t="s">
        <v>191</v>
      </c>
      <c r="B164">
        <v>-0.81803009057276599</v>
      </c>
      <c r="C164" s="2">
        <v>155.862644549175</v>
      </c>
      <c r="D164" s="1">
        <v>85.840980541571199</v>
      </c>
      <c r="E164" s="3">
        <v>48.76</v>
      </c>
    </row>
    <row r="165" spans="1:5" x14ac:dyDescent="0.3">
      <c r="A165" t="s">
        <v>192</v>
      </c>
      <c r="B165">
        <v>-0.80176812809044296</v>
      </c>
      <c r="C165" s="2">
        <v>157.797839021832</v>
      </c>
      <c r="D165" s="1">
        <v>85.816259632632296</v>
      </c>
      <c r="E165" s="3">
        <v>44.65</v>
      </c>
    </row>
    <row r="166" spans="1:5" x14ac:dyDescent="0.3">
      <c r="A166" t="s">
        <v>193</v>
      </c>
      <c r="B166">
        <v>1.4179436335506901</v>
      </c>
      <c r="C166" s="2">
        <v>157.99168476262699</v>
      </c>
      <c r="D166" s="1">
        <v>86.094567252378994</v>
      </c>
      <c r="E166" s="3">
        <v>44.72</v>
      </c>
    </row>
    <row r="167" spans="1:5" x14ac:dyDescent="0.3">
      <c r="A167" t="s">
        <v>194</v>
      </c>
      <c r="B167">
        <v>1.2605748295124899</v>
      </c>
      <c r="C167" s="2">
        <v>157.70671451888501</v>
      </c>
      <c r="D167" s="1">
        <v>86.340573250528394</v>
      </c>
      <c r="E167" s="3">
        <v>45.18</v>
      </c>
    </row>
    <row r="168" spans="1:5" x14ac:dyDescent="0.3">
      <c r="A168" t="s">
        <v>195</v>
      </c>
      <c r="B168">
        <v>-0.89756705562199102</v>
      </c>
      <c r="C168" s="2">
        <v>156.569962598123</v>
      </c>
      <c r="D168" s="1">
        <v>86.811630024547199</v>
      </c>
      <c r="E168" s="3">
        <v>49.78</v>
      </c>
    </row>
    <row r="169" spans="1:5" x14ac:dyDescent="0.3">
      <c r="A169" t="s">
        <v>196</v>
      </c>
      <c r="B169">
        <v>-1.31983656622528</v>
      </c>
      <c r="C169" s="2">
        <v>157.84469687939199</v>
      </c>
      <c r="D169" s="1">
        <v>87.194867970113293</v>
      </c>
      <c r="E169" s="3">
        <v>45.66</v>
      </c>
    </row>
    <row r="170" spans="1:5" x14ac:dyDescent="0.3">
      <c r="A170" t="s">
        <v>197</v>
      </c>
      <c r="B170">
        <v>-1.55701549701071</v>
      </c>
      <c r="C170" s="2">
        <v>159.8844155013</v>
      </c>
      <c r="D170" s="1">
        <v>87.430742402862407</v>
      </c>
      <c r="E170" s="3">
        <v>51.97</v>
      </c>
    </row>
    <row r="171" spans="1:5" x14ac:dyDescent="0.3">
      <c r="A171" t="s">
        <v>198</v>
      </c>
      <c r="B171">
        <v>-0.78361163157023295</v>
      </c>
      <c r="C171" s="2">
        <v>160.60231256535801</v>
      </c>
      <c r="D171" s="1">
        <v>87.722808984936194</v>
      </c>
      <c r="E171" s="3">
        <v>52.5</v>
      </c>
    </row>
    <row r="172" spans="1:5" x14ac:dyDescent="0.3">
      <c r="A172" t="s">
        <v>199</v>
      </c>
      <c r="B172">
        <v>-1.7803286751341401</v>
      </c>
      <c r="C172" s="2">
        <v>160.10091583226901</v>
      </c>
      <c r="D172" s="1">
        <v>87.988467066959998</v>
      </c>
      <c r="E172" s="3">
        <v>53.47</v>
      </c>
    </row>
    <row r="173" spans="1:5" x14ac:dyDescent="0.3">
      <c r="A173" t="s">
        <v>200</v>
      </c>
      <c r="B173">
        <v>-1.30023672957012</v>
      </c>
      <c r="C173" s="2">
        <v>157.507640365502</v>
      </c>
      <c r="D173" s="1">
        <v>88.666278397319104</v>
      </c>
      <c r="E173" s="3">
        <v>49.33</v>
      </c>
    </row>
    <row r="174" spans="1:5" x14ac:dyDescent="0.3">
      <c r="A174" t="s">
        <v>201</v>
      </c>
      <c r="B174">
        <v>0.40329262225623003</v>
      </c>
      <c r="C174" s="2">
        <v>158.90353062338201</v>
      </c>
      <c r="D174" s="1">
        <v>88.482024060478295</v>
      </c>
      <c r="E174" s="3">
        <v>51.06</v>
      </c>
    </row>
    <row r="175" spans="1:5" x14ac:dyDescent="0.3">
      <c r="A175" t="s">
        <v>202</v>
      </c>
      <c r="B175">
        <v>1.3610838718613401</v>
      </c>
      <c r="C175" s="2">
        <v>159.817930400054</v>
      </c>
      <c r="D175" s="1">
        <v>88.212497594715202</v>
      </c>
      <c r="E175" s="3">
        <v>48.48</v>
      </c>
    </row>
    <row r="176" spans="1:5" x14ac:dyDescent="0.3">
      <c r="A176" t="s">
        <v>203</v>
      </c>
      <c r="B176">
        <v>0.67368059031850902</v>
      </c>
      <c r="C176" s="2">
        <v>162.19256813113401</v>
      </c>
      <c r="D176" s="1">
        <v>88.191935103231998</v>
      </c>
      <c r="E176" s="3">
        <v>45.18</v>
      </c>
    </row>
    <row r="177" spans="1:5" x14ac:dyDescent="0.3">
      <c r="A177" t="s">
        <v>204</v>
      </c>
      <c r="B177">
        <v>6.4622595670036295E-2</v>
      </c>
      <c r="C177" s="2">
        <v>161.12350110167799</v>
      </c>
      <c r="D177" s="1">
        <v>88.262657850346798</v>
      </c>
      <c r="E177" s="3">
        <v>46.63</v>
      </c>
    </row>
    <row r="178" spans="1:5" x14ac:dyDescent="0.3">
      <c r="A178" t="s">
        <v>205</v>
      </c>
      <c r="B178">
        <v>0.62948086283315097</v>
      </c>
      <c r="C178" s="2">
        <v>162.337112131564</v>
      </c>
      <c r="D178" s="1">
        <v>88.820171325256396</v>
      </c>
      <c r="E178" s="3">
        <v>48.04</v>
      </c>
    </row>
    <row r="179" spans="1:5" x14ac:dyDescent="0.3">
      <c r="A179" t="s">
        <v>206</v>
      </c>
      <c r="B179">
        <v>1.41591746571085</v>
      </c>
      <c r="C179" s="2">
        <v>163.24854610412899</v>
      </c>
      <c r="D179" s="1">
        <v>88.880660219029295</v>
      </c>
      <c r="E179" s="3">
        <v>49.82</v>
      </c>
    </row>
    <row r="180" spans="1:5" x14ac:dyDescent="0.3">
      <c r="A180" t="s">
        <v>207</v>
      </c>
      <c r="B180">
        <v>-0.21688285837212901</v>
      </c>
      <c r="C180" s="2">
        <v>161.62771974803201</v>
      </c>
      <c r="D180" s="1">
        <v>88.587393803532194</v>
      </c>
      <c r="E180" s="3">
        <v>51.58</v>
      </c>
    </row>
    <row r="181" spans="1:5" x14ac:dyDescent="0.3">
      <c r="A181" t="s">
        <v>208</v>
      </c>
      <c r="B181">
        <v>-0.27950808867759203</v>
      </c>
      <c r="C181" s="2">
        <v>160.943041713312</v>
      </c>
      <c r="D181" s="1">
        <v>88.542299652212805</v>
      </c>
      <c r="E181" s="3">
        <v>56.64</v>
      </c>
    </row>
    <row r="182" spans="1:5" x14ac:dyDescent="0.3">
      <c r="A182" t="s">
        <v>209</v>
      </c>
      <c r="B182">
        <v>0.50854456368470202</v>
      </c>
      <c r="C182" s="2">
        <v>162.821064920569</v>
      </c>
      <c r="D182" s="1">
        <v>88.620207060920706</v>
      </c>
      <c r="E182" s="3">
        <v>57.88</v>
      </c>
    </row>
    <row r="183" spans="1:5" x14ac:dyDescent="0.3">
      <c r="A183" t="s">
        <v>210</v>
      </c>
      <c r="B183">
        <v>1.3287071184325101</v>
      </c>
      <c r="C183" s="2">
        <v>165.26126464281401</v>
      </c>
      <c r="D183" s="1">
        <v>88.823701902363297</v>
      </c>
      <c r="E183" s="3">
        <v>63.7</v>
      </c>
    </row>
    <row r="184" spans="1:5" x14ac:dyDescent="0.3">
      <c r="A184" t="s">
        <v>211</v>
      </c>
      <c r="B184">
        <v>2.3352122245457498</v>
      </c>
      <c r="C184" s="2">
        <v>164.67255910949501</v>
      </c>
      <c r="D184" s="1">
        <v>89.033448759938807</v>
      </c>
      <c r="E184" s="3">
        <v>62.23</v>
      </c>
    </row>
    <row r="185" spans="1:5" x14ac:dyDescent="0.3">
      <c r="A185" t="s">
        <v>212</v>
      </c>
      <c r="B185">
        <v>-0.94172324691752496</v>
      </c>
      <c r="C185" s="2">
        <v>166.47397544996301</v>
      </c>
      <c r="D185" s="1">
        <v>88.987760235085602</v>
      </c>
      <c r="E185" s="3">
        <v>62.73</v>
      </c>
    </row>
    <row r="186" spans="1:5" x14ac:dyDescent="0.3">
      <c r="A186" t="s">
        <v>213</v>
      </c>
      <c r="B186">
        <v>-0.46186057995290503</v>
      </c>
      <c r="C186" s="2">
        <v>169.34546090811</v>
      </c>
      <c r="D186" s="1">
        <v>88.912632215955199</v>
      </c>
      <c r="E186" s="3">
        <v>66.25</v>
      </c>
    </row>
    <row r="187" spans="1:5" x14ac:dyDescent="0.3">
      <c r="A187" t="s">
        <v>214</v>
      </c>
      <c r="B187">
        <v>-0.45981793705606799</v>
      </c>
      <c r="C187" s="2">
        <v>170.20825669100901</v>
      </c>
      <c r="D187" s="1">
        <v>89.034525469447004</v>
      </c>
      <c r="E187" s="3">
        <v>69.98</v>
      </c>
    </row>
    <row r="188" spans="1:5" x14ac:dyDescent="0.3">
      <c r="A188" t="s">
        <v>215</v>
      </c>
      <c r="B188">
        <v>-1.4227975332184699</v>
      </c>
      <c r="C188" s="2">
        <v>166.25166210155999</v>
      </c>
      <c r="D188" s="1">
        <v>89.455922153739294</v>
      </c>
      <c r="E188" s="3">
        <v>67.87</v>
      </c>
    </row>
    <row r="189" spans="1:5" x14ac:dyDescent="0.3">
      <c r="A189" t="s">
        <v>216</v>
      </c>
      <c r="B189">
        <v>-1.5949406928333101</v>
      </c>
      <c r="C189" s="2">
        <v>164.56911562213401</v>
      </c>
      <c r="D189" s="1">
        <v>89.6854564352778</v>
      </c>
      <c r="E189" s="3">
        <v>70.98</v>
      </c>
    </row>
    <row r="190" spans="1:5" x14ac:dyDescent="0.3">
      <c r="A190" t="s">
        <v>217</v>
      </c>
      <c r="B190">
        <v>-0.43687185908036702</v>
      </c>
      <c r="C190" s="2">
        <v>165.97125769021599</v>
      </c>
      <c r="D190" s="1">
        <v>89.766602385080802</v>
      </c>
      <c r="E190" s="3">
        <v>68.06</v>
      </c>
    </row>
    <row r="191" spans="1:5" x14ac:dyDescent="0.3">
      <c r="A191" t="s">
        <v>218</v>
      </c>
      <c r="B191">
        <v>0.32088663676623302</v>
      </c>
      <c r="C191" s="2">
        <v>167.51147629739901</v>
      </c>
      <c r="D191" s="1">
        <v>90.018443104392404</v>
      </c>
      <c r="E191" s="3">
        <v>70.23</v>
      </c>
    </row>
    <row r="192" spans="1:5" x14ac:dyDescent="0.3">
      <c r="A192" t="s">
        <v>219</v>
      </c>
      <c r="B192">
        <v>0.42867904040739802</v>
      </c>
      <c r="C192" s="2">
        <v>167.94115943007401</v>
      </c>
      <c r="D192" s="1">
        <v>90.221828281274497</v>
      </c>
      <c r="E192" s="3">
        <v>70.75</v>
      </c>
    </row>
    <row r="193" spans="1:5" x14ac:dyDescent="0.3">
      <c r="A193" t="s">
        <v>220</v>
      </c>
      <c r="B193">
        <v>0.45776990206768198</v>
      </c>
      <c r="C193" s="2">
        <v>168.73763916100799</v>
      </c>
      <c r="D193" s="1">
        <v>90.459685778540006</v>
      </c>
      <c r="E193" s="3">
        <v>56.96</v>
      </c>
    </row>
    <row r="194" spans="1:5" x14ac:dyDescent="0.3">
      <c r="A194" t="s">
        <v>221</v>
      </c>
      <c r="B194">
        <v>-0.33120980441323999</v>
      </c>
      <c r="C194" s="2">
        <v>169.67343595667501</v>
      </c>
      <c r="D194" s="1">
        <v>90.556899479974703</v>
      </c>
      <c r="E194" s="3">
        <v>49.52</v>
      </c>
    </row>
    <row r="195" spans="1:5" x14ac:dyDescent="0.3">
      <c r="A195" t="s">
        <v>222</v>
      </c>
      <c r="B195">
        <v>0.59960187293204104</v>
      </c>
      <c r="C195" s="2">
        <v>168.12395382968799</v>
      </c>
      <c r="D195" s="1">
        <v>90.715890144983106</v>
      </c>
      <c r="E195" s="3">
        <v>51.38</v>
      </c>
    </row>
    <row r="196" spans="1:5" x14ac:dyDescent="0.3">
      <c r="A196" t="s">
        <v>223</v>
      </c>
      <c r="B196">
        <v>9.9288303270837694E-2</v>
      </c>
      <c r="C196" s="2">
        <v>168.26436195036399</v>
      </c>
      <c r="D196" s="1">
        <v>90.824744007528693</v>
      </c>
      <c r="E196" s="3">
        <v>54.95</v>
      </c>
    </row>
    <row r="197" spans="1:5" x14ac:dyDescent="0.3">
      <c r="A197" t="s">
        <v>224</v>
      </c>
      <c r="B197">
        <v>-1.1921580870364701</v>
      </c>
      <c r="C197" s="2">
        <v>170.93818900640801</v>
      </c>
      <c r="D197" s="1">
        <v>90.987168291421696</v>
      </c>
      <c r="E197" s="3">
        <v>58.15</v>
      </c>
    </row>
    <row r="198" spans="1:5" x14ac:dyDescent="0.3">
      <c r="A198" t="s">
        <v>225</v>
      </c>
      <c r="B198">
        <v>-9.1319979032653806E-2</v>
      </c>
      <c r="C198" s="2">
        <v>171.45855664970901</v>
      </c>
      <c r="D198" s="1">
        <v>91.2164675132029</v>
      </c>
      <c r="E198" s="3">
        <v>63.86</v>
      </c>
    </row>
    <row r="199" spans="1:5" x14ac:dyDescent="0.3">
      <c r="A199" t="s">
        <v>226</v>
      </c>
      <c r="B199">
        <v>-0.49844688834192602</v>
      </c>
      <c r="C199" s="2">
        <v>171.44038518974801</v>
      </c>
      <c r="D199" s="1">
        <v>91.458636572670102</v>
      </c>
      <c r="E199" s="3">
        <v>60.83</v>
      </c>
    </row>
    <row r="200" spans="1:5" x14ac:dyDescent="0.3">
      <c r="A200" t="s">
        <v>227</v>
      </c>
      <c r="B200">
        <v>0.197081936496871</v>
      </c>
      <c r="C200" s="2">
        <v>171.167675447215</v>
      </c>
      <c r="D200" s="1">
        <v>91.511789711905394</v>
      </c>
      <c r="E200" s="3">
        <v>54.66</v>
      </c>
    </row>
    <row r="201" spans="1:5" x14ac:dyDescent="0.3">
      <c r="A201" t="s">
        <v>228</v>
      </c>
      <c r="B201">
        <v>-0.66375176674202496</v>
      </c>
      <c r="C201" s="2">
        <v>170.98143637415299</v>
      </c>
      <c r="D201" s="1">
        <v>91.576032646446194</v>
      </c>
      <c r="E201" s="3">
        <v>57.35</v>
      </c>
    </row>
    <row r="202" spans="1:5" x14ac:dyDescent="0.3">
      <c r="A202" t="s">
        <v>229</v>
      </c>
      <c r="B202">
        <v>0.98935628367684203</v>
      </c>
      <c r="C202" s="2">
        <v>172.393605315005</v>
      </c>
      <c r="D202" s="1">
        <v>91.593240711185004</v>
      </c>
      <c r="E202" s="3">
        <v>54.81</v>
      </c>
    </row>
    <row r="203" spans="1:5" x14ac:dyDescent="0.3">
      <c r="A203" t="s">
        <v>230</v>
      </c>
      <c r="B203">
        <v>-0.83563959061745197</v>
      </c>
      <c r="C203" s="2">
        <v>171.065284449334</v>
      </c>
      <c r="D203" s="1">
        <v>91.685335052538704</v>
      </c>
      <c r="E203" s="3">
        <v>56.95</v>
      </c>
    </row>
    <row r="204" spans="1:5" x14ac:dyDescent="0.3">
      <c r="A204" t="s">
        <v>231</v>
      </c>
      <c r="B204">
        <v>0.82576607147021597</v>
      </c>
      <c r="C204" s="2">
        <v>172.138035090372</v>
      </c>
      <c r="D204" s="1">
        <v>91.923089111087194</v>
      </c>
      <c r="E204" s="3">
        <v>53.96</v>
      </c>
    </row>
    <row r="205" spans="1:5" x14ac:dyDescent="0.3">
      <c r="A205" t="s">
        <v>232</v>
      </c>
      <c r="B205">
        <v>0.48453997936966797</v>
      </c>
      <c r="C205" s="2">
        <v>172.76547889895201</v>
      </c>
      <c r="D205" s="1">
        <v>92.148466469627493</v>
      </c>
      <c r="E205" s="3">
        <v>57.03</v>
      </c>
    </row>
    <row r="206" spans="1:5" x14ac:dyDescent="0.3">
      <c r="A206" t="s">
        <v>233</v>
      </c>
      <c r="B206">
        <v>-0.37910820530803602</v>
      </c>
      <c r="C206" s="2">
        <v>170.95679281871</v>
      </c>
      <c r="D206" s="1">
        <v>92.271845786062499</v>
      </c>
      <c r="E206" s="3">
        <v>59.88</v>
      </c>
    </row>
    <row r="207" spans="1:5" x14ac:dyDescent="0.3">
      <c r="A207" t="s">
        <v>234</v>
      </c>
      <c r="B207">
        <v>0.347539948123611</v>
      </c>
      <c r="C207" s="2">
        <v>173.650482507437</v>
      </c>
      <c r="D207" s="1">
        <v>92.430606579206696</v>
      </c>
      <c r="E207" s="3">
        <v>57.52</v>
      </c>
    </row>
    <row r="208" spans="1:5" x14ac:dyDescent="0.3">
      <c r="A208" t="s">
        <v>235</v>
      </c>
      <c r="B208">
        <v>0.97247322484268695</v>
      </c>
      <c r="C208" s="2">
        <v>173.35146690051599</v>
      </c>
      <c r="D208" s="1">
        <v>92.562129528593303</v>
      </c>
      <c r="E208" s="3">
        <v>50.54</v>
      </c>
    </row>
    <row r="209" spans="1:5" x14ac:dyDescent="0.3">
      <c r="A209" t="s">
        <v>236</v>
      </c>
      <c r="B209">
        <v>8.6126220142127202E-2</v>
      </c>
      <c r="C209" s="2">
        <v>140.82045052103899</v>
      </c>
      <c r="D209" s="1">
        <v>92.643876335172394</v>
      </c>
      <c r="E209" s="3">
        <v>29.21</v>
      </c>
    </row>
    <row r="210" spans="1:5" x14ac:dyDescent="0.3">
      <c r="A210" t="s">
        <v>237</v>
      </c>
      <c r="B210">
        <v>-4.5652790949620901</v>
      </c>
      <c r="C210" s="2">
        <v>104.571783804586</v>
      </c>
      <c r="D210" s="1">
        <v>92.788502543670205</v>
      </c>
      <c r="E210" s="3">
        <v>16.55</v>
      </c>
    </row>
    <row r="211" spans="1:5" x14ac:dyDescent="0.3">
      <c r="A211" t="s">
        <v>238</v>
      </c>
      <c r="B211">
        <v>5.0906475281957103E-2</v>
      </c>
      <c r="C211" s="2">
        <v>116.20409231795</v>
      </c>
      <c r="D211" s="1">
        <v>93.087837950255803</v>
      </c>
      <c r="E211" s="3">
        <v>28.56</v>
      </c>
    </row>
    <row r="212" spans="1:5" x14ac:dyDescent="0.3">
      <c r="A212" t="s">
        <v>239</v>
      </c>
      <c r="B212">
        <v>3.3653888040313298</v>
      </c>
      <c r="C212" s="2">
        <v>139.91102445364899</v>
      </c>
      <c r="D212" s="1">
        <v>92.978460658046004</v>
      </c>
      <c r="E212" s="3">
        <v>38.31</v>
      </c>
    </row>
    <row r="213" spans="1:5" x14ac:dyDescent="0.3">
      <c r="A213" t="s">
        <v>240</v>
      </c>
      <c r="B213">
        <v>1.66439510000685</v>
      </c>
      <c r="C213" s="2">
        <v>152.544198892754</v>
      </c>
      <c r="D213" s="1">
        <v>93.277587781952306</v>
      </c>
      <c r="E213" s="3">
        <v>40.71</v>
      </c>
    </row>
    <row r="214" spans="1:5" x14ac:dyDescent="0.3">
      <c r="A214" t="s">
        <v>241</v>
      </c>
      <c r="B214">
        <v>2.8875597573369398</v>
      </c>
      <c r="C214" s="2">
        <v>156.36406569440399</v>
      </c>
      <c r="D214" s="1">
        <v>93.132259182792197</v>
      </c>
      <c r="E214" s="3">
        <v>42.34</v>
      </c>
    </row>
    <row r="215" spans="1:5" x14ac:dyDescent="0.3">
      <c r="A215" t="s">
        <v>242</v>
      </c>
      <c r="B215">
        <v>0.68967310353257205</v>
      </c>
      <c r="C215" s="2">
        <v>160.26131398211101</v>
      </c>
      <c r="D215" s="1">
        <v>93.352326835013898</v>
      </c>
      <c r="E215" s="3">
        <v>39.630000000000003</v>
      </c>
    </row>
    <row r="216" spans="1:5" x14ac:dyDescent="0.3">
      <c r="A216" t="s">
        <v>243</v>
      </c>
      <c r="B216">
        <v>1.6421386217991301</v>
      </c>
      <c r="C216" s="2">
        <v>166.74684518517901</v>
      </c>
      <c r="D216" s="1">
        <v>93.511422872260397</v>
      </c>
      <c r="E216" s="3">
        <v>39.4</v>
      </c>
    </row>
    <row r="217" spans="1:5" x14ac:dyDescent="0.3">
      <c r="A217" t="s">
        <v>244</v>
      </c>
      <c r="B217">
        <v>0.73871892255988902</v>
      </c>
      <c r="C217" s="2">
        <v>168.292170423214</v>
      </c>
      <c r="D217" s="1">
        <v>94.123566912216205</v>
      </c>
      <c r="E217" s="3">
        <v>40.94</v>
      </c>
    </row>
    <row r="218" spans="1:5" x14ac:dyDescent="0.3">
      <c r="A218" t="s">
        <v>245</v>
      </c>
      <c r="B218">
        <v>1.59315820413933</v>
      </c>
      <c r="C218" s="2">
        <v>172.400120770981</v>
      </c>
      <c r="D218" s="1">
        <v>94.087797527464105</v>
      </c>
      <c r="E218" s="3">
        <v>47.02</v>
      </c>
    </row>
    <row r="219" spans="1:5" x14ac:dyDescent="0.3">
      <c r="A219" t="s">
        <v>246</v>
      </c>
      <c r="B219">
        <v>0.83686719141231403</v>
      </c>
      <c r="C219" s="2">
        <v>172.90099314200501</v>
      </c>
      <c r="D219" s="1">
        <v>94.907015137831095</v>
      </c>
      <c r="E219" s="3">
        <v>52</v>
      </c>
    </row>
    <row r="220" spans="1:5" x14ac:dyDescent="0.3">
      <c r="A220" t="s">
        <v>247</v>
      </c>
      <c r="B220">
        <v>0.95476359296355995</v>
      </c>
      <c r="C220" s="2">
        <v>169.15538756642201</v>
      </c>
      <c r="D220" s="1">
        <v>94.793795504301599</v>
      </c>
      <c r="E220" s="3">
        <v>59.04</v>
      </c>
    </row>
    <row r="221" spans="1:5" x14ac:dyDescent="0.3">
      <c r="A221" t="s">
        <v>248</v>
      </c>
      <c r="B221">
        <v>3.65100281010836E-2</v>
      </c>
      <c r="C221" s="2">
        <v>168.75683535705301</v>
      </c>
      <c r="D221" s="1">
        <v>95.050626995084798</v>
      </c>
      <c r="E221" s="3">
        <v>62.33</v>
      </c>
    </row>
    <row r="222" spans="1:5" x14ac:dyDescent="0.3">
      <c r="A222" t="s">
        <v>249</v>
      </c>
      <c r="B222">
        <v>0.22155256258014799</v>
      </c>
      <c r="C222" s="2">
        <v>167.832160638837</v>
      </c>
      <c r="D222" s="1">
        <v>94.999241804173096</v>
      </c>
      <c r="E222" s="3">
        <v>61.72</v>
      </c>
    </row>
    <row r="223" spans="1:5" x14ac:dyDescent="0.3">
      <c r="A223" t="s">
        <v>250</v>
      </c>
      <c r="B223">
        <v>3.21207516396785</v>
      </c>
      <c r="C223" s="2">
        <v>172.46262082341099</v>
      </c>
      <c r="D223" s="1">
        <v>95.367164094827999</v>
      </c>
      <c r="E223" s="3">
        <v>65.17</v>
      </c>
    </row>
    <row r="224" spans="1:5" x14ac:dyDescent="0.3">
      <c r="A224" t="s">
        <v>251</v>
      </c>
      <c r="B224">
        <v>3.2601817398187398</v>
      </c>
      <c r="C224" s="2">
        <v>172.756272866323</v>
      </c>
      <c r="D224" s="1">
        <v>96.007748807400304</v>
      </c>
      <c r="E224" s="3">
        <v>71.38</v>
      </c>
    </row>
    <row r="225" spans="1:5" x14ac:dyDescent="0.3">
      <c r="A225" t="s">
        <v>252</v>
      </c>
      <c r="B225">
        <v>-0.90951083016644796</v>
      </c>
      <c r="C225" s="2">
        <v>173.54042175974399</v>
      </c>
      <c r="D225" s="1">
        <v>96.8329150975906</v>
      </c>
      <c r="E225" s="3">
        <v>72.489999999999995</v>
      </c>
    </row>
    <row r="226" spans="1:5" x14ac:dyDescent="0.3">
      <c r="A226" t="s">
        <v>253</v>
      </c>
      <c r="B226">
        <v>2.6327725317242998</v>
      </c>
      <c r="C226" s="2">
        <v>174.87920486451901</v>
      </c>
      <c r="D226" s="1">
        <v>97.736271996997999</v>
      </c>
      <c r="E226" s="3">
        <v>67.73</v>
      </c>
    </row>
    <row r="227" spans="1:5" x14ac:dyDescent="0.3">
      <c r="A227" t="s">
        <v>254</v>
      </c>
      <c r="B227">
        <v>0.41526369987545902</v>
      </c>
      <c r="C227" s="2">
        <v>175.854950933071</v>
      </c>
      <c r="D227" s="1">
        <v>98.230375596969296</v>
      </c>
      <c r="E227" s="3">
        <v>71.650000000000006</v>
      </c>
    </row>
    <row r="228" spans="1:5" x14ac:dyDescent="0.3">
      <c r="A228" t="s">
        <v>255</v>
      </c>
      <c r="B228">
        <v>-2.4522405675663999</v>
      </c>
      <c r="C228" s="2">
        <v>175.023326475673</v>
      </c>
      <c r="D228" s="1">
        <v>98.961340724322497</v>
      </c>
      <c r="E228" s="3">
        <v>81.48</v>
      </c>
    </row>
    <row r="229" spans="1:5" x14ac:dyDescent="0.3">
      <c r="A229" t="s">
        <v>256</v>
      </c>
      <c r="B229">
        <v>1.3040819003171999E-2</v>
      </c>
      <c r="C229" s="2">
        <v>174.28334484974999</v>
      </c>
      <c r="D229" s="1">
        <v>99.449493411811105</v>
      </c>
      <c r="E229" s="3">
        <v>79.150000000000006</v>
      </c>
    </row>
    <row r="230" spans="1:5" x14ac:dyDescent="0.3">
      <c r="A230" t="s">
        <v>257</v>
      </c>
      <c r="B230">
        <v>-0.66022535967429796</v>
      </c>
      <c r="C230" s="2">
        <v>175.225814954611</v>
      </c>
      <c r="D230" s="1">
        <v>100.138313947223</v>
      </c>
      <c r="E230" s="3">
        <v>71.709999999999994</v>
      </c>
    </row>
    <row r="231" spans="1:5" x14ac:dyDescent="0.3">
      <c r="A231" t="s">
        <v>258</v>
      </c>
      <c r="B231">
        <v>-2.75959298287201</v>
      </c>
      <c r="C231" s="2">
        <v>177.77595236253299</v>
      </c>
      <c r="D231" s="1">
        <v>100.310298940621</v>
      </c>
      <c r="E231" s="3">
        <v>83.22</v>
      </c>
    </row>
    <row r="232" spans="1:5" x14ac:dyDescent="0.3">
      <c r="A232" t="s">
        <v>259</v>
      </c>
      <c r="B232">
        <v>-1.80674620295179</v>
      </c>
      <c r="C232" s="2">
        <v>177.45500302739299</v>
      </c>
      <c r="D232" s="1">
        <v>100.629603217629</v>
      </c>
      <c r="E232" s="3">
        <v>91.64</v>
      </c>
    </row>
    <row r="233" spans="1:5" x14ac:dyDescent="0.3">
      <c r="A233" t="s">
        <v>260</v>
      </c>
      <c r="B233">
        <v>-2.3011015152565899</v>
      </c>
      <c r="C233" s="2">
        <v>175.624506747689</v>
      </c>
      <c r="D233" s="1">
        <v>101.53436914992299</v>
      </c>
      <c r="E233" s="3">
        <v>108.5</v>
      </c>
    </row>
    <row r="234" spans="1:5" x14ac:dyDescent="0.3">
      <c r="A234" t="s">
        <v>261</v>
      </c>
      <c r="B234">
        <v>-1.1703369351138799</v>
      </c>
      <c r="C234" s="2">
        <v>175.36384503404199</v>
      </c>
      <c r="D234" s="1">
        <v>102.557954022622</v>
      </c>
      <c r="E234" s="3">
        <v>101.78</v>
      </c>
    </row>
    <row r="235" spans="1:5" x14ac:dyDescent="0.3">
      <c r="A235" t="s">
        <v>262</v>
      </c>
      <c r="B235">
        <v>-2.2018973774841202</v>
      </c>
      <c r="C235" s="2">
        <v>176.549094020246</v>
      </c>
      <c r="D235" s="1">
        <v>103.07733490661001</v>
      </c>
      <c r="E235" s="3">
        <v>109.55</v>
      </c>
    </row>
    <row r="236" spans="1:5" x14ac:dyDescent="0.3">
      <c r="A236" t="s">
        <v>263</v>
      </c>
      <c r="B236">
        <v>-1.0276778803070501</v>
      </c>
      <c r="C236" s="2">
        <v>179.22937448249701</v>
      </c>
      <c r="D236" s="1">
        <v>104.46602293574</v>
      </c>
      <c r="E236" s="3">
        <v>114.84</v>
      </c>
    </row>
    <row r="237" spans="1:5" x14ac:dyDescent="0.3">
      <c r="A237" t="s">
        <v>264</v>
      </c>
      <c r="B237">
        <v>1.6479115444007799</v>
      </c>
      <c r="C237" s="2">
        <v>177.76735736691001</v>
      </c>
      <c r="D237" s="1">
        <v>105.293194860235</v>
      </c>
      <c r="E237" s="3">
        <v>101.62</v>
      </c>
    </row>
    <row r="238" spans="1:5" x14ac:dyDescent="0.3">
      <c r="A238" t="s">
        <v>265</v>
      </c>
      <c r="B238">
        <v>-1.1764920644602099</v>
      </c>
      <c r="C238" s="2">
        <v>177.59760674853001</v>
      </c>
      <c r="D238" s="1">
        <v>105.93733482655399</v>
      </c>
      <c r="E238" s="3">
        <v>93.67</v>
      </c>
    </row>
    <row r="239" spans="1:5" x14ac:dyDescent="0.3">
      <c r="A239" t="s">
        <v>266</v>
      </c>
      <c r="B239">
        <v>-1.8698219202161701</v>
      </c>
      <c r="C239" s="2">
        <v>179.26037297873199</v>
      </c>
      <c r="D239" s="1">
        <v>106.60810956621999</v>
      </c>
      <c r="E239" s="3">
        <v>84.26</v>
      </c>
    </row>
    <row r="240" spans="1:5" x14ac:dyDescent="0.3">
      <c r="A240" t="s">
        <v>267</v>
      </c>
      <c r="B240">
        <v>0.297252730581052</v>
      </c>
      <c r="C240" s="2">
        <v>178.96693481014299</v>
      </c>
      <c r="D240" s="1">
        <v>107.15639068557</v>
      </c>
      <c r="E240" s="3">
        <v>87.55</v>
      </c>
    </row>
    <row r="241" spans="1:5" x14ac:dyDescent="0.3">
      <c r="A241" t="s">
        <v>268</v>
      </c>
      <c r="B241">
        <v>-1.9978323046254001</v>
      </c>
      <c r="C241" s="2">
        <v>177.723455970728</v>
      </c>
      <c r="D241" s="1">
        <v>107.85759642231299</v>
      </c>
      <c r="E241" s="3">
        <v>84.37</v>
      </c>
    </row>
    <row r="242" spans="1:5" x14ac:dyDescent="0.3">
      <c r="A242" t="s">
        <v>269</v>
      </c>
      <c r="B242">
        <v>-6.1527877364945499E-2</v>
      </c>
      <c r="C242" s="2">
        <v>178.01322374453099</v>
      </c>
      <c r="D242" s="1">
        <v>108.614251311761</v>
      </c>
      <c r="E242" s="3">
        <v>76.44</v>
      </c>
    </row>
    <row r="243" spans="1:5" x14ac:dyDescent="0.3">
      <c r="A243" t="s">
        <v>270</v>
      </c>
      <c r="B243">
        <v>2.3885772790883002</v>
      </c>
      <c r="C243" s="2">
        <v>176.49244401197501</v>
      </c>
      <c r="D243" s="1">
        <v>109.009446750341</v>
      </c>
      <c r="E243" s="3">
        <v>78.12</v>
      </c>
    </row>
    <row r="244" spans="1:5" x14ac:dyDescent="0.3">
      <c r="A244" t="s">
        <v>271</v>
      </c>
      <c r="B244">
        <v>-0.28441300364827699</v>
      </c>
      <c r="C244" s="2">
        <v>177.15495402469799</v>
      </c>
      <c r="D244" s="1">
        <v>109.333401981894</v>
      </c>
      <c r="E244" s="3">
        <v>76.83</v>
      </c>
    </row>
    <row r="245" spans="1:5" x14ac:dyDescent="0.3">
      <c r="A245" t="s">
        <v>272</v>
      </c>
      <c r="B245">
        <v>-3.1889320364545899</v>
      </c>
      <c r="C245" s="2">
        <v>177.33604281750601</v>
      </c>
      <c r="D245" s="1">
        <v>110.05860842040001</v>
      </c>
      <c r="E245" s="3">
        <v>73.28</v>
      </c>
    </row>
    <row r="246" spans="1:5" x14ac:dyDescent="0.3">
      <c r="A246" t="s">
        <v>273</v>
      </c>
      <c r="B246">
        <v>0.126466157891098</v>
      </c>
      <c r="C246" s="2">
        <v>177.12783191592499</v>
      </c>
      <c r="D246" s="1">
        <v>110.719326627237</v>
      </c>
      <c r="E246" s="3">
        <v>79.45</v>
      </c>
    </row>
    <row r="247" spans="1:5" x14ac:dyDescent="0.3">
      <c r="A247" t="s">
        <v>274</v>
      </c>
      <c r="B247">
        <v>-2.9593310677662399</v>
      </c>
      <c r="C247" s="2">
        <v>174.65140795271401</v>
      </c>
      <c r="D247" s="1">
        <v>111.207137001738</v>
      </c>
      <c r="E247" s="3">
        <v>71.58</v>
      </c>
    </row>
    <row r="248" spans="1:5" x14ac:dyDescent="0.3">
      <c r="A248" t="s">
        <v>275</v>
      </c>
      <c r="B248">
        <v>-1.31324586843383</v>
      </c>
      <c r="C248" s="2">
        <v>178.320370228955</v>
      </c>
      <c r="D248" s="1">
        <v>111.21100586044</v>
      </c>
      <c r="E248" s="3">
        <v>70.25</v>
      </c>
    </row>
    <row r="249" spans="1:5" x14ac:dyDescent="0.3">
      <c r="A249" t="s">
        <v>276</v>
      </c>
      <c r="B249">
        <v>-0.99910663686732304</v>
      </c>
      <c r="C249" s="2">
        <v>175.698963231568</v>
      </c>
      <c r="D249" s="1">
        <v>111.481891975401</v>
      </c>
      <c r="E249" s="3">
        <v>76.069999999999993</v>
      </c>
    </row>
    <row r="250" spans="1:5" x14ac:dyDescent="0.3">
      <c r="A250" t="s">
        <v>277</v>
      </c>
      <c r="B250">
        <v>1.5030166457921099</v>
      </c>
      <c r="C250" s="2">
        <v>177.51208014296901</v>
      </c>
      <c r="D250" s="1">
        <v>111.83809927452999</v>
      </c>
      <c r="E250" s="3">
        <v>81.39</v>
      </c>
    </row>
    <row r="251" spans="1:5" x14ac:dyDescent="0.3">
      <c r="A251" t="s">
        <v>278</v>
      </c>
      <c r="B251">
        <v>0.19100065774726199</v>
      </c>
      <c r="C251" s="2">
        <v>177.98791794322599</v>
      </c>
      <c r="D251" s="1">
        <v>111.985073062965</v>
      </c>
      <c r="E251" s="3">
        <v>89.43</v>
      </c>
    </row>
    <row r="252" spans="1:5" x14ac:dyDescent="0.3">
      <c r="A252" t="s">
        <v>279</v>
      </c>
      <c r="B252">
        <v>2.6382489572009602</v>
      </c>
      <c r="C252" s="2">
        <v>177.19858063996199</v>
      </c>
      <c r="D252" s="1">
        <v>111.815884950588</v>
      </c>
      <c r="E252" s="3">
        <v>85.64</v>
      </c>
    </row>
    <row r="253" spans="1:5" x14ac:dyDescent="0.3">
      <c r="A253" t="s">
        <v>280</v>
      </c>
      <c r="B253">
        <v>-1.0230310785027099</v>
      </c>
      <c r="C253" s="2">
        <v>178.43488075164601</v>
      </c>
      <c r="D253" s="1">
        <v>111.78725863949001</v>
      </c>
      <c r="E253" s="3">
        <v>77.69</v>
      </c>
    </row>
    <row r="254" spans="1:5" x14ac:dyDescent="0.3">
      <c r="A254" t="s">
        <v>281</v>
      </c>
      <c r="B254">
        <v>-0.10138956983110101</v>
      </c>
      <c r="C254" s="2">
        <v>177.14188123146499</v>
      </c>
      <c r="D254" s="1">
        <v>112.138485266212</v>
      </c>
      <c r="E254" s="3">
        <v>71.900000000000006</v>
      </c>
    </row>
    <row r="255" spans="1:5" x14ac:dyDescent="0.3">
      <c r="A255" t="s">
        <v>282</v>
      </c>
      <c r="B255">
        <v>0.18228784096074899</v>
      </c>
      <c r="C255" s="2">
        <v>179.52406863327201</v>
      </c>
      <c r="D255" s="1">
        <v>112.313918770079</v>
      </c>
      <c r="E255" s="3">
        <v>74.150000000000006</v>
      </c>
    </row>
    <row r="256" spans="1:5" x14ac:dyDescent="0.3">
      <c r="A256" t="s">
        <v>283</v>
      </c>
      <c r="B256">
        <v>1.8472700071745001</v>
      </c>
      <c r="C256" s="2">
        <v>179.644913337373</v>
      </c>
      <c r="D256" s="1">
        <v>112.936752773256</v>
      </c>
      <c r="E256" s="3">
        <v>77.25</v>
      </c>
    </row>
    <row r="257" spans="1:5" x14ac:dyDescent="0.3">
      <c r="A257" t="s">
        <v>284</v>
      </c>
      <c r="B257">
        <v>-4.11231820434854</v>
      </c>
      <c r="C257" s="2">
        <v>180.68944633361801</v>
      </c>
      <c r="D257" s="1">
        <v>113.40645510125999</v>
      </c>
      <c r="E257" s="3">
        <v>81.28</v>
      </c>
    </row>
    <row r="258" spans="1:5" x14ac:dyDescent="0.3">
      <c r="A258" t="s">
        <v>285</v>
      </c>
      <c r="B258">
        <v>-0.346070074055775</v>
      </c>
      <c r="C258" s="2">
        <v>182.792476680585</v>
      </c>
      <c r="D258" s="1">
        <v>113.398701995853</v>
      </c>
      <c r="E258" s="3">
        <v>85.35</v>
      </c>
    </row>
    <row r="259" spans="1:5" x14ac:dyDescent="0.3">
      <c r="A259" t="s">
        <v>286</v>
      </c>
      <c r="B259">
        <v>0.93078059059233798</v>
      </c>
      <c r="C259" s="2">
        <v>184.08269182936499</v>
      </c>
      <c r="D259" s="1">
        <v>113.435074420178</v>
      </c>
      <c r="E259" s="3">
        <v>80.02</v>
      </c>
    </row>
    <row r="260" spans="1:5" x14ac:dyDescent="0.3">
      <c r="A260" t="s">
        <v>287</v>
      </c>
      <c r="B260">
        <v>0.57076641285713503</v>
      </c>
      <c r="C260" s="2">
        <v>179.870880095172</v>
      </c>
      <c r="D260" s="1">
        <v>113.749427244499</v>
      </c>
      <c r="E260" s="3">
        <v>79.77</v>
      </c>
    </row>
    <row r="261" spans="1:5" x14ac:dyDescent="0.3">
      <c r="A261" t="s">
        <v>288</v>
      </c>
      <c r="B261">
        <v>-0.43750610713203703</v>
      </c>
      <c r="C261" s="2">
        <v>183.44680956619999</v>
      </c>
      <c r="D261" s="1">
        <v>113.85088899322299</v>
      </c>
      <c r="E261" s="3">
        <v>81.8</v>
      </c>
    </row>
    <row r="262" spans="1:5" x14ac:dyDescent="0.3">
      <c r="A262" t="s">
        <v>289</v>
      </c>
      <c r="B262">
        <v>0.38569650096914199</v>
      </c>
      <c r="C262" s="2">
        <v>184.95331532044901</v>
      </c>
      <c r="D262" s="1">
        <v>114.108874033836</v>
      </c>
      <c r="E262" s="3">
        <v>76.680000000000007</v>
      </c>
    </row>
    <row r="263" spans="1:5" x14ac:dyDescent="0.3">
      <c r="A263" t="s">
        <v>290</v>
      </c>
      <c r="B263">
        <v>1.5752760160814501</v>
      </c>
      <c r="C263" s="2">
        <v>184.29874646956199</v>
      </c>
      <c r="D263" s="1">
        <v>113.972518759858</v>
      </c>
      <c r="E263" s="3">
        <v>70.239999999999995</v>
      </c>
    </row>
    <row r="264" spans="1:5" x14ac:dyDescent="0.3">
      <c r="A264" t="s">
        <v>291</v>
      </c>
      <c r="B264">
        <v>-0.93770107394324897</v>
      </c>
      <c r="C264" s="2">
        <v>183.97268502509701</v>
      </c>
      <c r="D264" s="1">
        <v>114.064010134283</v>
      </c>
      <c r="E264" s="3">
        <v>71.989999999999995</v>
      </c>
    </row>
    <row r="265" spans="1:5" x14ac:dyDescent="0.3">
      <c r="A265" t="s">
        <v>292</v>
      </c>
      <c r="B265">
        <v>-1.1856209929038299</v>
      </c>
      <c r="C265" s="2">
        <v>186.59909664632499</v>
      </c>
      <c r="D265" s="1">
        <v>114.32827594603999</v>
      </c>
      <c r="E265" s="3">
        <v>69.95</v>
      </c>
    </row>
    <row r="266" spans="1:5" x14ac:dyDescent="0.3">
      <c r="A266" t="s">
        <v>293</v>
      </c>
      <c r="B266">
        <v>-2.1371837118297599</v>
      </c>
      <c r="C266" s="2">
        <v>185.187196053836</v>
      </c>
      <c r="D266" s="1">
        <v>114.34653609628199</v>
      </c>
      <c r="E266" s="3">
        <v>70.12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57F-B760-451A-8DA7-8BE00AC3B2F2}">
  <dimension ref="B2:N266"/>
  <sheetViews>
    <sheetView workbookViewId="0">
      <selection activeCell="H2" sqref="H2:N2"/>
    </sheetView>
  </sheetViews>
  <sheetFormatPr baseColWidth="10" defaultRowHeight="14.4" x14ac:dyDescent="0.3"/>
  <sheetData>
    <row r="2" spans="2:14" x14ac:dyDescent="0.3">
      <c r="B2" s="3"/>
      <c r="C2" s="3" t="s">
        <v>316</v>
      </c>
      <c r="D2" s="3" t="s">
        <v>317</v>
      </c>
      <c r="E2" s="3" t="s">
        <v>307</v>
      </c>
      <c r="F2" s="3" t="s">
        <v>318</v>
      </c>
      <c r="H2" t="s">
        <v>320</v>
      </c>
      <c r="I2" t="s">
        <v>319</v>
      </c>
      <c r="J2" t="s">
        <v>316</v>
      </c>
      <c r="K2" t="s">
        <v>321</v>
      </c>
      <c r="L2" t="s">
        <v>322</v>
      </c>
      <c r="M2" s="3" t="s">
        <v>323</v>
      </c>
      <c r="N2" s="3" t="s">
        <v>324</v>
      </c>
    </row>
    <row r="3" spans="2:14" x14ac:dyDescent="0.3">
      <c r="B3" s="3" t="s">
        <v>30</v>
      </c>
      <c r="C3" s="3">
        <v>0.74957440664663399</v>
      </c>
      <c r="D3" s="3">
        <v>74.997752459852705</v>
      </c>
      <c r="E3" s="3">
        <v>57.7553228722157</v>
      </c>
      <c r="F3" s="3">
        <v>32.950000000000003</v>
      </c>
      <c r="H3">
        <f>LN(F3)</f>
        <v>3.4949912609485163</v>
      </c>
      <c r="J3" s="3">
        <v>0.74957440664663399</v>
      </c>
      <c r="K3">
        <f>LN(D3)</f>
        <v>4.317458145885321</v>
      </c>
      <c r="M3">
        <f>LN(E3)</f>
        <v>4.0562155161018802</v>
      </c>
    </row>
    <row r="4" spans="2:14" x14ac:dyDescent="0.3">
      <c r="B4" s="3" t="s">
        <v>31</v>
      </c>
      <c r="C4" s="3">
        <v>-0.22050825724542</v>
      </c>
      <c r="D4" s="3">
        <v>75.879351130268603</v>
      </c>
      <c r="E4" s="3">
        <v>57.966597966819499</v>
      </c>
      <c r="F4" s="3">
        <v>35.83</v>
      </c>
      <c r="H4" s="3">
        <f t="shared" ref="H4:H67" si="0">LN(F4)</f>
        <v>3.5787855313168624</v>
      </c>
      <c r="I4">
        <f>H4-H3</f>
        <v>8.379427036834608E-2</v>
      </c>
      <c r="J4" s="3">
        <v>-0.22050825724542</v>
      </c>
      <c r="K4" s="3">
        <f t="shared" ref="K4:K67" si="1">LN(D4)</f>
        <v>4.3291445937686355</v>
      </c>
      <c r="L4">
        <f>K4-K3</f>
        <v>1.1686447883314521E-2</v>
      </c>
      <c r="M4" s="3">
        <f>LN(E4)</f>
        <v>4.0598669475301747</v>
      </c>
      <c r="N4">
        <f>M4-M3</f>
        <v>3.6514314282944937E-3</v>
      </c>
    </row>
    <row r="5" spans="2:14" x14ac:dyDescent="0.3">
      <c r="B5" s="3" t="s">
        <v>32</v>
      </c>
      <c r="C5" s="3">
        <v>-0.79815517020315596</v>
      </c>
      <c r="D5" s="3">
        <v>76.066410486962795</v>
      </c>
      <c r="E5" s="3">
        <v>58.349370688823797</v>
      </c>
      <c r="F5" s="3">
        <v>33.51</v>
      </c>
      <c r="H5" s="3">
        <f t="shared" si="0"/>
        <v>3.5118439017492191</v>
      </c>
      <c r="I5" s="3">
        <f t="shared" ref="I5:I68" si="2">H5-H4</f>
        <v>-6.6941629567643268E-2</v>
      </c>
      <c r="J5" s="3">
        <v>-0.79815517020315596</v>
      </c>
      <c r="K5" s="3">
        <f t="shared" si="1"/>
        <v>4.3316067809228551</v>
      </c>
      <c r="L5" s="3">
        <f t="shared" ref="L5:L68" si="3">K5-K4</f>
        <v>2.4621871542196416E-3</v>
      </c>
      <c r="M5" s="3">
        <f t="shared" ref="M4:M67" si="4">LN(E5)</f>
        <v>4.0664485735642737</v>
      </c>
      <c r="N5" s="3">
        <f t="shared" ref="N5:N68" si="5">M5-M4</f>
        <v>6.581626034098953E-3</v>
      </c>
    </row>
    <row r="6" spans="2:14" x14ac:dyDescent="0.3">
      <c r="B6" s="3" t="s">
        <v>33</v>
      </c>
      <c r="C6" s="3">
        <v>0.38345355707810103</v>
      </c>
      <c r="D6" s="3">
        <v>76.688140230997604</v>
      </c>
      <c r="E6" s="3">
        <v>58.317056765442601</v>
      </c>
      <c r="F6" s="3">
        <v>28.17</v>
      </c>
      <c r="H6" s="3">
        <f t="shared" si="0"/>
        <v>3.3382575818882811</v>
      </c>
      <c r="I6" s="3">
        <f t="shared" si="2"/>
        <v>-0.17358631986093798</v>
      </c>
      <c r="J6" s="3">
        <v>0.38345355707810103</v>
      </c>
      <c r="K6" s="3">
        <f t="shared" si="1"/>
        <v>4.3397470710067472</v>
      </c>
      <c r="L6" s="3">
        <f t="shared" si="3"/>
        <v>8.1402900838920544E-3</v>
      </c>
      <c r="M6" s="3">
        <f t="shared" si="4"/>
        <v>4.0658946194420356</v>
      </c>
      <c r="N6" s="3">
        <f t="shared" si="5"/>
        <v>-5.5395412223813167E-4</v>
      </c>
    </row>
    <row r="7" spans="2:14" x14ac:dyDescent="0.3">
      <c r="B7" s="3" t="s">
        <v>34</v>
      </c>
      <c r="C7" s="3">
        <v>1.98292905583937</v>
      </c>
      <c r="D7" s="3">
        <v>76.860589228724905</v>
      </c>
      <c r="E7" s="3">
        <v>58.360283370787499</v>
      </c>
      <c r="F7" s="3">
        <v>28.11</v>
      </c>
      <c r="H7" s="3">
        <f t="shared" si="0"/>
        <v>3.3361253849184407</v>
      </c>
      <c r="I7" s="3">
        <f t="shared" si="2"/>
        <v>-2.1321969698404608E-3</v>
      </c>
      <c r="J7" s="3">
        <v>1.98292905583937</v>
      </c>
      <c r="K7" s="3">
        <f t="shared" si="1"/>
        <v>4.3419932513670689</v>
      </c>
      <c r="L7" s="3">
        <f t="shared" si="3"/>
        <v>2.2461803603217589E-3</v>
      </c>
      <c r="M7" s="3">
        <f t="shared" si="4"/>
        <v>4.0666355792080386</v>
      </c>
      <c r="N7" s="3">
        <f t="shared" si="5"/>
        <v>7.4095976600307978E-4</v>
      </c>
    </row>
    <row r="8" spans="2:14" x14ac:dyDescent="0.3">
      <c r="B8" s="3" t="s">
        <v>35</v>
      </c>
      <c r="C8" s="3">
        <v>0.245873366358764</v>
      </c>
      <c r="D8" s="3">
        <v>77.851425168905806</v>
      </c>
      <c r="E8" s="3">
        <v>58.158485168084702</v>
      </c>
      <c r="F8" s="3">
        <v>30.66</v>
      </c>
      <c r="H8" s="3">
        <f t="shared" si="0"/>
        <v>3.422958873443668</v>
      </c>
      <c r="I8" s="3">
        <f t="shared" si="2"/>
        <v>8.683348852522732E-2</v>
      </c>
      <c r="J8" s="3">
        <v>0.245873366358764</v>
      </c>
      <c r="K8" s="3">
        <f t="shared" si="1"/>
        <v>4.3548022047136739</v>
      </c>
      <c r="L8" s="3">
        <f t="shared" si="3"/>
        <v>1.2808953346604923E-2</v>
      </c>
      <c r="M8" s="3">
        <f t="shared" si="4"/>
        <v>4.0631717869452908</v>
      </c>
      <c r="N8" s="3">
        <f t="shared" si="5"/>
        <v>-3.4637922627478446E-3</v>
      </c>
    </row>
    <row r="9" spans="2:14" x14ac:dyDescent="0.3">
      <c r="B9" s="3" t="s">
        <v>36</v>
      </c>
      <c r="C9" s="3">
        <v>-0.57486536800070498</v>
      </c>
      <c r="D9" s="3">
        <v>77.416036856284094</v>
      </c>
      <c r="E9" s="3">
        <v>58.066242512097098</v>
      </c>
      <c r="F9" s="3">
        <v>30.76</v>
      </c>
      <c r="H9" s="3">
        <f t="shared" si="0"/>
        <v>3.4262151446374434</v>
      </c>
      <c r="I9" s="3">
        <f t="shared" si="2"/>
        <v>3.2562711937753619E-3</v>
      </c>
      <c r="J9" s="3">
        <v>-0.57486536800070498</v>
      </c>
      <c r="K9" s="3">
        <f t="shared" si="1"/>
        <v>4.3491939536594941</v>
      </c>
      <c r="L9" s="3">
        <f t="shared" si="3"/>
        <v>-5.6082510541797248E-3</v>
      </c>
      <c r="M9" s="3">
        <f t="shared" si="4"/>
        <v>4.0615844711099012</v>
      </c>
      <c r="N9" s="3">
        <f t="shared" si="5"/>
        <v>-1.5873158353896244E-3</v>
      </c>
    </row>
    <row r="10" spans="2:14" x14ac:dyDescent="0.3">
      <c r="B10" s="3" t="s">
        <v>37</v>
      </c>
      <c r="C10" s="3">
        <v>9.4736930024664004E-2</v>
      </c>
      <c r="D10" s="3">
        <v>78.129909660921598</v>
      </c>
      <c r="E10" s="3">
        <v>58.108482979688702</v>
      </c>
      <c r="F10" s="3">
        <v>31.57</v>
      </c>
      <c r="H10" s="3">
        <f t="shared" si="0"/>
        <v>3.4522073025699003</v>
      </c>
      <c r="I10" s="3">
        <f t="shared" si="2"/>
        <v>2.5992157932456905E-2</v>
      </c>
      <c r="J10" s="3">
        <v>9.4736930024664004E-2</v>
      </c>
      <c r="K10" s="3">
        <f t="shared" si="1"/>
        <v>4.3583729497417822</v>
      </c>
      <c r="L10" s="3">
        <f t="shared" si="3"/>
        <v>9.1789960822881156E-3</v>
      </c>
      <c r="M10" s="3">
        <f t="shared" si="4"/>
        <v>4.0623116597350384</v>
      </c>
      <c r="N10" s="3">
        <f t="shared" si="5"/>
        <v>7.271886251372095E-4</v>
      </c>
    </row>
    <row r="11" spans="2:14" x14ac:dyDescent="0.3">
      <c r="B11" s="3" t="s">
        <v>38</v>
      </c>
      <c r="C11" s="3">
        <v>0.72514949731105804</v>
      </c>
      <c r="D11" s="3">
        <v>78.347350620124303</v>
      </c>
      <c r="E11" s="3">
        <v>58.431643080718402</v>
      </c>
      <c r="F11" s="3">
        <v>28.31</v>
      </c>
      <c r="H11" s="3">
        <f t="shared" si="0"/>
        <v>3.3432150991238081</v>
      </c>
      <c r="I11" s="3">
        <f t="shared" si="2"/>
        <v>-0.10899220344609217</v>
      </c>
      <c r="J11" s="3">
        <v>0.72514949731105804</v>
      </c>
      <c r="K11" s="3">
        <f t="shared" si="1"/>
        <v>4.3611521535541593</v>
      </c>
      <c r="L11" s="3">
        <f t="shared" si="3"/>
        <v>2.7792038123770624E-3</v>
      </c>
      <c r="M11" s="3">
        <f t="shared" si="4"/>
        <v>4.0678575766693186</v>
      </c>
      <c r="N11" s="3">
        <f t="shared" si="5"/>
        <v>5.5459169342801928E-3</v>
      </c>
    </row>
    <row r="12" spans="2:14" x14ac:dyDescent="0.3">
      <c r="B12" s="3" t="s">
        <v>39</v>
      </c>
      <c r="C12" s="3">
        <v>1.3967693972272399</v>
      </c>
      <c r="D12" s="3">
        <v>78.908142343117603</v>
      </c>
      <c r="E12" s="3">
        <v>58.4880824022488</v>
      </c>
      <c r="F12" s="3">
        <v>30.34</v>
      </c>
      <c r="H12" s="3">
        <f t="shared" si="0"/>
        <v>3.4124669739203863</v>
      </c>
      <c r="I12" s="3">
        <f t="shared" si="2"/>
        <v>6.9251874796578239E-2</v>
      </c>
      <c r="J12" s="3">
        <v>1.3967693972272399</v>
      </c>
      <c r="K12" s="3">
        <f t="shared" si="1"/>
        <v>4.368284420792369</v>
      </c>
      <c r="L12" s="3">
        <f t="shared" si="3"/>
        <v>7.1322672382096997E-3</v>
      </c>
      <c r="M12" s="3">
        <f t="shared" si="4"/>
        <v>4.0688230138644714</v>
      </c>
      <c r="N12" s="3">
        <f t="shared" si="5"/>
        <v>9.6543719515285176E-4</v>
      </c>
    </row>
    <row r="13" spans="2:14" x14ac:dyDescent="0.3">
      <c r="B13" s="3" t="s">
        <v>40</v>
      </c>
      <c r="C13" s="3">
        <v>0.21739945827755999</v>
      </c>
      <c r="D13" s="3">
        <v>75.209304248958603</v>
      </c>
      <c r="E13" s="3">
        <v>58.692504457496703</v>
      </c>
      <c r="F13" s="3">
        <v>31.11</v>
      </c>
      <c r="H13" s="3">
        <f t="shared" si="0"/>
        <v>3.4375293109095457</v>
      </c>
      <c r="I13" s="3">
        <f t="shared" si="2"/>
        <v>2.5062336989159384E-2</v>
      </c>
      <c r="J13" s="3">
        <v>0.21739945827755999</v>
      </c>
      <c r="K13" s="3">
        <f t="shared" si="1"/>
        <v>4.3202749500171507</v>
      </c>
      <c r="L13" s="3">
        <f t="shared" si="3"/>
        <v>-4.8009470775218333E-2</v>
      </c>
      <c r="M13" s="3">
        <f t="shared" si="4"/>
        <v>4.0723120263041386</v>
      </c>
      <c r="N13" s="3">
        <f t="shared" si="5"/>
        <v>3.4890124396671496E-3</v>
      </c>
    </row>
    <row r="14" spans="2:14" x14ac:dyDescent="0.3">
      <c r="B14" s="3" t="s">
        <v>41</v>
      </c>
      <c r="C14" s="3">
        <v>0.272161042656062</v>
      </c>
      <c r="D14" s="3">
        <v>75.752133486738501</v>
      </c>
      <c r="E14" s="3">
        <v>59.009850829017601</v>
      </c>
      <c r="F14" s="3">
        <v>32.130000000000003</v>
      </c>
      <c r="H14" s="3">
        <f t="shared" si="0"/>
        <v>3.4697901731277674</v>
      </c>
      <c r="I14" s="3">
        <f t="shared" si="2"/>
        <v>3.2260862218221664E-2</v>
      </c>
      <c r="J14" s="3">
        <v>0.272161042656062</v>
      </c>
      <c r="K14" s="3">
        <f t="shared" si="1"/>
        <v>4.327466608834289</v>
      </c>
      <c r="L14" s="3">
        <f t="shared" si="3"/>
        <v>7.1916588171383466E-3</v>
      </c>
      <c r="M14" s="3">
        <f t="shared" si="4"/>
        <v>4.0777043931726036</v>
      </c>
      <c r="N14" s="3">
        <f t="shared" si="5"/>
        <v>5.3923668684650039E-3</v>
      </c>
    </row>
    <row r="15" spans="2:14" x14ac:dyDescent="0.3">
      <c r="B15" s="3" t="s">
        <v>42</v>
      </c>
      <c r="C15" s="3">
        <v>0.81945915611543196</v>
      </c>
      <c r="D15" s="3">
        <v>78.091980471424506</v>
      </c>
      <c r="E15" s="3">
        <v>59.368258870568802</v>
      </c>
      <c r="F15" s="3">
        <v>34.31</v>
      </c>
      <c r="H15" s="3">
        <f t="shared" si="0"/>
        <v>3.5354368568703585</v>
      </c>
      <c r="I15" s="3">
        <f t="shared" si="2"/>
        <v>6.5646683742591083E-2</v>
      </c>
      <c r="J15" s="3">
        <v>0.81945915611543196</v>
      </c>
      <c r="K15" s="3">
        <f t="shared" si="1"/>
        <v>4.357887368749128</v>
      </c>
      <c r="L15" s="3">
        <f t="shared" si="3"/>
        <v>3.0420759914838946E-2</v>
      </c>
      <c r="M15" s="3">
        <f t="shared" si="4"/>
        <v>4.0837597210977679</v>
      </c>
      <c r="N15" s="3">
        <f t="shared" si="5"/>
        <v>6.0553279251642778E-3</v>
      </c>
    </row>
    <row r="16" spans="2:14" x14ac:dyDescent="0.3">
      <c r="B16" s="3" t="s">
        <v>43</v>
      </c>
      <c r="C16" s="3">
        <v>-0.63799034470282001</v>
      </c>
      <c r="D16" s="3">
        <v>78.939323878381799</v>
      </c>
      <c r="E16" s="3">
        <v>59.951628960543196</v>
      </c>
      <c r="F16" s="3">
        <v>34.69</v>
      </c>
      <c r="H16" s="3">
        <f t="shared" si="0"/>
        <v>3.5464514609816584</v>
      </c>
      <c r="I16" s="3">
        <f t="shared" si="2"/>
        <v>1.1014604111299953E-2</v>
      </c>
      <c r="J16" s="3">
        <v>-0.63799034470282001</v>
      </c>
      <c r="K16" s="3">
        <f t="shared" si="1"/>
        <v>4.3686795051914569</v>
      </c>
      <c r="L16" s="3">
        <f t="shared" si="3"/>
        <v>1.0792136442328903E-2</v>
      </c>
      <c r="M16" s="3">
        <f t="shared" si="4"/>
        <v>4.0935380530900796</v>
      </c>
      <c r="N16" s="3">
        <f t="shared" si="5"/>
        <v>9.7783319923117062E-3</v>
      </c>
    </row>
    <row r="17" spans="2:14" x14ac:dyDescent="0.3">
      <c r="B17" s="3" t="s">
        <v>44</v>
      </c>
      <c r="C17" s="3">
        <v>-1.0351564566307001</v>
      </c>
      <c r="D17" s="3">
        <v>79.857177095203198</v>
      </c>
      <c r="E17" s="3">
        <v>59.957814988269398</v>
      </c>
      <c r="F17" s="3">
        <v>36.74</v>
      </c>
      <c r="H17" s="3">
        <f t="shared" si="0"/>
        <v>3.6038660797869797</v>
      </c>
      <c r="I17" s="3">
        <f t="shared" si="2"/>
        <v>5.7414618805321282E-2</v>
      </c>
      <c r="J17" s="3">
        <v>-1.0351564566307001</v>
      </c>
      <c r="K17" s="3">
        <f t="shared" si="1"/>
        <v>4.3802397528410575</v>
      </c>
      <c r="L17" s="3">
        <f t="shared" si="3"/>
        <v>1.1560247649600619E-2</v>
      </c>
      <c r="M17" s="3">
        <f t="shared" si="4"/>
        <v>4.0936412314141206</v>
      </c>
      <c r="N17" s="3">
        <f t="shared" si="5"/>
        <v>1.0317832404105332E-4</v>
      </c>
    </row>
    <row r="18" spans="2:14" x14ac:dyDescent="0.3">
      <c r="B18" s="3" t="s">
        <v>45</v>
      </c>
      <c r="C18" s="3">
        <v>0.38636798617232898</v>
      </c>
      <c r="D18" s="3">
        <v>80.332059343300699</v>
      </c>
      <c r="E18" s="3">
        <v>59.944626557409698</v>
      </c>
      <c r="F18" s="3">
        <v>36.75</v>
      </c>
      <c r="H18" s="3">
        <f t="shared" si="0"/>
        <v>3.6041382256588457</v>
      </c>
      <c r="I18" s="3">
        <f t="shared" si="2"/>
        <v>2.7214587186596972E-4</v>
      </c>
      <c r="J18" s="3">
        <v>0.38636798617232898</v>
      </c>
      <c r="K18" s="3">
        <f t="shared" si="1"/>
        <v>4.3861687858997067</v>
      </c>
      <c r="L18" s="3">
        <f t="shared" si="3"/>
        <v>5.9290330586492246E-3</v>
      </c>
      <c r="M18" s="3">
        <f t="shared" si="4"/>
        <v>4.0934212453864323</v>
      </c>
      <c r="N18" s="3">
        <f t="shared" si="5"/>
        <v>-2.1998602768835696E-4</v>
      </c>
    </row>
    <row r="19" spans="2:14" x14ac:dyDescent="0.3">
      <c r="B19" s="3" t="s">
        <v>46</v>
      </c>
      <c r="C19" s="3">
        <v>-0.67518620695356302</v>
      </c>
      <c r="D19" s="3">
        <v>80.2772246303401</v>
      </c>
      <c r="E19" s="3">
        <v>60.220609794849302</v>
      </c>
      <c r="F19" s="3">
        <v>40.28</v>
      </c>
      <c r="H19" s="3">
        <f t="shared" si="0"/>
        <v>3.6958550678503617</v>
      </c>
      <c r="I19" s="3">
        <f t="shared" si="2"/>
        <v>9.171684219151599E-2</v>
      </c>
      <c r="J19" s="3">
        <v>-0.67518620695356302</v>
      </c>
      <c r="K19" s="3">
        <f t="shared" si="1"/>
        <v>4.38548595220872</v>
      </c>
      <c r="L19" s="3">
        <f t="shared" si="3"/>
        <v>-6.8283369098676161E-4</v>
      </c>
      <c r="M19" s="3">
        <f t="shared" si="4"/>
        <v>4.0980146491207066</v>
      </c>
      <c r="N19" s="3">
        <f t="shared" si="5"/>
        <v>4.5934037342743039E-3</v>
      </c>
    </row>
    <row r="20" spans="2:14" x14ac:dyDescent="0.3">
      <c r="B20" s="3" t="s">
        <v>47</v>
      </c>
      <c r="C20" s="3">
        <v>-0.60603088754537704</v>
      </c>
      <c r="D20" s="3">
        <v>80.142936550905702</v>
      </c>
      <c r="E20" s="3">
        <v>60.632053642018597</v>
      </c>
      <c r="F20" s="3">
        <v>38.03</v>
      </c>
      <c r="H20" s="3">
        <f t="shared" si="0"/>
        <v>3.6383753219401682</v>
      </c>
      <c r="I20" s="3">
        <f t="shared" si="2"/>
        <v>-5.7479745910193447E-2</v>
      </c>
      <c r="J20" s="3">
        <v>-0.60603088754537704</v>
      </c>
      <c r="K20" s="3">
        <f t="shared" si="1"/>
        <v>4.3838117472981573</v>
      </c>
      <c r="L20" s="3">
        <f t="shared" si="3"/>
        <v>-1.6742049105626933E-3</v>
      </c>
      <c r="M20" s="3">
        <f t="shared" si="4"/>
        <v>4.1048236912239853</v>
      </c>
      <c r="N20" s="3">
        <f t="shared" si="5"/>
        <v>6.8090421032787063E-3</v>
      </c>
    </row>
    <row r="21" spans="2:14" x14ac:dyDescent="0.3">
      <c r="B21" s="3" t="s">
        <v>48</v>
      </c>
      <c r="C21" s="3">
        <v>-0.86079985559337402</v>
      </c>
      <c r="D21" s="3">
        <v>80.552119826206606</v>
      </c>
      <c r="E21" s="3">
        <v>60.739419988906498</v>
      </c>
      <c r="F21" s="3">
        <v>40.78</v>
      </c>
      <c r="H21" s="3">
        <f t="shared" si="0"/>
        <v>3.7081917651463092</v>
      </c>
      <c r="I21" s="3">
        <f t="shared" si="2"/>
        <v>6.9816443206140999E-2</v>
      </c>
      <c r="J21" s="3">
        <v>-0.86079985559337402</v>
      </c>
      <c r="K21" s="3">
        <f t="shared" si="1"/>
        <v>4.3889044261756025</v>
      </c>
      <c r="L21" s="3">
        <f t="shared" si="3"/>
        <v>5.0926788774452447E-3</v>
      </c>
      <c r="M21" s="3">
        <f t="shared" si="4"/>
        <v>4.1065929104924335</v>
      </c>
      <c r="N21" s="3">
        <f t="shared" si="5"/>
        <v>1.7692192684481967E-3</v>
      </c>
    </row>
    <row r="22" spans="2:14" x14ac:dyDescent="0.3">
      <c r="B22" s="3" t="s">
        <v>49</v>
      </c>
      <c r="C22" s="3">
        <v>-0.96555064780558297</v>
      </c>
      <c r="D22" s="3">
        <v>81.067295819655499</v>
      </c>
      <c r="E22" s="3">
        <v>60.768749056696599</v>
      </c>
      <c r="F22" s="3">
        <v>44.9</v>
      </c>
      <c r="H22" s="3">
        <f t="shared" si="0"/>
        <v>3.8044377947482086</v>
      </c>
      <c r="I22" s="3">
        <f t="shared" si="2"/>
        <v>9.624602960189943E-2</v>
      </c>
      <c r="J22" s="3">
        <v>-0.96555064780558297</v>
      </c>
      <c r="K22" s="3">
        <f t="shared" si="1"/>
        <v>4.3952796223270365</v>
      </c>
      <c r="L22" s="3">
        <f t="shared" si="3"/>
        <v>6.3751961514340039E-3</v>
      </c>
      <c r="M22" s="3">
        <f t="shared" si="4"/>
        <v>4.1070756610529928</v>
      </c>
      <c r="N22" s="3">
        <f t="shared" si="5"/>
        <v>4.8275056055935295E-4</v>
      </c>
    </row>
    <row r="23" spans="2:14" x14ac:dyDescent="0.3">
      <c r="B23" s="3" t="s">
        <v>50</v>
      </c>
      <c r="C23" s="3">
        <v>-0.12529466781556201</v>
      </c>
      <c r="D23" s="3">
        <v>81.977566194810507</v>
      </c>
      <c r="E23" s="3">
        <v>60.782514398623803</v>
      </c>
      <c r="F23" s="3">
        <v>45.94</v>
      </c>
      <c r="H23" s="3">
        <f t="shared" si="0"/>
        <v>3.8273361972609523</v>
      </c>
      <c r="I23" s="3">
        <f t="shared" si="2"/>
        <v>2.2898402512743665E-2</v>
      </c>
      <c r="J23" s="3">
        <v>-0.12529466781556201</v>
      </c>
      <c r="K23" s="3">
        <f t="shared" si="1"/>
        <v>4.4064456268434844</v>
      </c>
      <c r="L23" s="3">
        <f t="shared" si="3"/>
        <v>1.1166004516447892E-2</v>
      </c>
      <c r="M23" s="3">
        <f t="shared" si="4"/>
        <v>4.1073021554816771</v>
      </c>
      <c r="N23" s="3">
        <f t="shared" si="5"/>
        <v>2.2649442868427627E-4</v>
      </c>
    </row>
    <row r="24" spans="2:14" x14ac:dyDescent="0.3">
      <c r="B24" s="3" t="s">
        <v>51</v>
      </c>
      <c r="C24" s="3">
        <v>-0.16960845633055899</v>
      </c>
      <c r="D24" s="3">
        <v>81.847518289262993</v>
      </c>
      <c r="E24" s="3">
        <v>60.801132984708502</v>
      </c>
      <c r="F24" s="3">
        <v>53.28</v>
      </c>
      <c r="H24" s="3">
        <f t="shared" si="0"/>
        <v>3.9755610262321337</v>
      </c>
      <c r="I24" s="3">
        <f t="shared" si="2"/>
        <v>0.14822482897118139</v>
      </c>
      <c r="J24" s="3">
        <v>-0.16960845633055899</v>
      </c>
      <c r="K24" s="3">
        <f t="shared" si="1"/>
        <v>4.4048579831285579</v>
      </c>
      <c r="L24" s="3">
        <f t="shared" si="3"/>
        <v>-1.5876437149264788E-3</v>
      </c>
      <c r="M24" s="3">
        <f t="shared" si="4"/>
        <v>4.1076084234154155</v>
      </c>
      <c r="N24" s="3">
        <f t="shared" si="5"/>
        <v>3.0626793373844663E-4</v>
      </c>
    </row>
    <row r="25" spans="2:14" x14ac:dyDescent="0.3">
      <c r="B25" s="3" t="s">
        <v>52</v>
      </c>
      <c r="C25" s="3">
        <v>0.67929924314760903</v>
      </c>
      <c r="D25" s="3">
        <v>81.527169408038503</v>
      </c>
      <c r="E25" s="3">
        <v>61.0845000463028</v>
      </c>
      <c r="F25" s="3">
        <v>48.47</v>
      </c>
      <c r="H25" s="3">
        <f t="shared" si="0"/>
        <v>3.8809450498572846</v>
      </c>
      <c r="I25" s="3">
        <f t="shared" si="2"/>
        <v>-9.4615976374849087E-2</v>
      </c>
      <c r="J25" s="3">
        <v>0.67929924314760903</v>
      </c>
      <c r="K25" s="3">
        <f t="shared" si="1"/>
        <v>4.4009363316621926</v>
      </c>
      <c r="L25" s="3">
        <f t="shared" si="3"/>
        <v>-3.9216514663653612E-3</v>
      </c>
      <c r="M25" s="3">
        <f t="shared" si="4"/>
        <v>4.1122581522649915</v>
      </c>
      <c r="N25" s="3">
        <f t="shared" si="5"/>
        <v>4.6497288495759292E-3</v>
      </c>
    </row>
    <row r="26" spans="2:14" x14ac:dyDescent="0.3">
      <c r="B26" s="3" t="s">
        <v>53</v>
      </c>
      <c r="C26" s="3">
        <v>3.3604483504312103E-2</v>
      </c>
      <c r="D26" s="3">
        <v>82.722797148399394</v>
      </c>
      <c r="E26" s="3">
        <v>61.063111836686701</v>
      </c>
      <c r="F26" s="3">
        <v>43.15</v>
      </c>
      <c r="H26" s="3">
        <f t="shared" si="0"/>
        <v>3.7646824175294369</v>
      </c>
      <c r="I26" s="3">
        <f t="shared" si="2"/>
        <v>-0.11626263232784773</v>
      </c>
      <c r="J26" s="3">
        <v>3.3604483504312103E-2</v>
      </c>
      <c r="K26" s="3">
        <f t="shared" si="1"/>
        <v>4.4154952248450821</v>
      </c>
      <c r="L26" s="3">
        <f t="shared" si="3"/>
        <v>1.4558893182889499E-2</v>
      </c>
      <c r="M26" s="3">
        <f t="shared" si="4"/>
        <v>4.1119079495961879</v>
      </c>
      <c r="N26" s="3">
        <f t="shared" si="5"/>
        <v>-3.5020266880358975E-4</v>
      </c>
    </row>
    <row r="27" spans="2:14" x14ac:dyDescent="0.3">
      <c r="B27" s="3" t="s">
        <v>54</v>
      </c>
      <c r="C27" s="3">
        <v>-0.34737747806381197</v>
      </c>
      <c r="D27" s="3">
        <v>83.076185978986999</v>
      </c>
      <c r="E27" s="3">
        <v>61.165660128810501</v>
      </c>
      <c r="F27" s="3">
        <v>46.84</v>
      </c>
      <c r="H27" s="3">
        <f t="shared" si="0"/>
        <v>3.8467375387295166</v>
      </c>
      <c r="I27" s="3">
        <f t="shared" si="2"/>
        <v>8.2055121200079739E-2</v>
      </c>
      <c r="J27" s="3">
        <v>-0.34737747806381197</v>
      </c>
      <c r="K27" s="3">
        <f t="shared" si="1"/>
        <v>4.4197580901422118</v>
      </c>
      <c r="L27" s="3">
        <f t="shared" si="3"/>
        <v>4.2628652971297143E-3</v>
      </c>
      <c r="M27" s="3">
        <f t="shared" si="4"/>
        <v>4.1135859230313452</v>
      </c>
      <c r="N27" s="3">
        <f t="shared" si="5"/>
        <v>1.6779734351572984E-3</v>
      </c>
    </row>
    <row r="28" spans="2:14" x14ac:dyDescent="0.3">
      <c r="B28" s="3" t="s">
        <v>55</v>
      </c>
      <c r="C28" s="3">
        <v>0.87751663841381999</v>
      </c>
      <c r="D28" s="3">
        <v>84.744378592949303</v>
      </c>
      <c r="E28" s="3">
        <v>60.963212162547897</v>
      </c>
      <c r="F28" s="3">
        <v>48.15</v>
      </c>
      <c r="H28" s="3">
        <f t="shared" si="0"/>
        <v>3.8743211382441345</v>
      </c>
      <c r="I28" s="3">
        <f t="shared" si="2"/>
        <v>2.7583599514617863E-2</v>
      </c>
      <c r="J28" s="3">
        <v>0.87751663841381999</v>
      </c>
      <c r="K28" s="3">
        <f t="shared" si="1"/>
        <v>4.4396394147739411</v>
      </c>
      <c r="L28" s="3">
        <f t="shared" si="3"/>
        <v>1.9881324631729314E-2</v>
      </c>
      <c r="M28" s="3">
        <f t="shared" si="4"/>
        <v>4.1102706029453477</v>
      </c>
      <c r="N28" s="3">
        <f t="shared" si="5"/>
        <v>-3.3153200859974419E-3</v>
      </c>
    </row>
    <row r="29" spans="2:14" x14ac:dyDescent="0.3">
      <c r="B29" s="3" t="s">
        <v>56</v>
      </c>
      <c r="C29" s="3">
        <v>-0.56354245890977095</v>
      </c>
      <c r="D29" s="3">
        <v>82.438316666307799</v>
      </c>
      <c r="E29" s="3">
        <v>61.086465312560598</v>
      </c>
      <c r="F29" s="3">
        <v>54.19</v>
      </c>
      <c r="H29" s="3">
        <f t="shared" si="0"/>
        <v>3.9924963895780228</v>
      </c>
      <c r="I29" s="3">
        <f t="shared" si="2"/>
        <v>0.11817525133388829</v>
      </c>
      <c r="J29" s="3">
        <v>-0.56354245890977095</v>
      </c>
      <c r="K29" s="3">
        <f t="shared" si="1"/>
        <v>4.4120503369189308</v>
      </c>
      <c r="L29" s="3">
        <f t="shared" si="3"/>
        <v>-2.7589077855010302E-2</v>
      </c>
      <c r="M29" s="3">
        <f t="shared" si="4"/>
        <v>4.1122903246596714</v>
      </c>
      <c r="N29" s="3">
        <f t="shared" si="5"/>
        <v>2.0197217143236301E-3</v>
      </c>
    </row>
    <row r="30" spans="2:14" x14ac:dyDescent="0.3">
      <c r="B30" s="3" t="s">
        <v>57</v>
      </c>
      <c r="C30" s="3">
        <v>-0.100215665144781</v>
      </c>
      <c r="D30" s="3">
        <v>84.537969305689899</v>
      </c>
      <c r="E30" s="3">
        <v>61.159816725552503</v>
      </c>
      <c r="F30" s="3">
        <v>52.98</v>
      </c>
      <c r="H30" s="3">
        <f t="shared" si="0"/>
        <v>3.9699144838439238</v>
      </c>
      <c r="I30" s="3">
        <f t="shared" si="2"/>
        <v>-2.2581905734099017E-2</v>
      </c>
      <c r="J30" s="3">
        <v>-0.100215665144781</v>
      </c>
      <c r="K30" s="3">
        <f t="shared" si="1"/>
        <v>4.4372007743354782</v>
      </c>
      <c r="L30" s="3">
        <f t="shared" si="3"/>
        <v>2.5150437416547433E-2</v>
      </c>
      <c r="M30" s="3">
        <f t="shared" si="4"/>
        <v>4.1134903844172692</v>
      </c>
      <c r="N30" s="3">
        <f t="shared" si="5"/>
        <v>1.2000597575978489E-3</v>
      </c>
    </row>
    <row r="31" spans="2:14" x14ac:dyDescent="0.3">
      <c r="B31" s="3" t="s">
        <v>58</v>
      </c>
      <c r="C31" s="3">
        <v>-0.25895325369495897</v>
      </c>
      <c r="D31" s="3">
        <v>85.404728685094497</v>
      </c>
      <c r="E31" s="3">
        <v>61.303468802347098</v>
      </c>
      <c r="F31" s="3">
        <v>49.83</v>
      </c>
      <c r="H31" s="3">
        <f t="shared" si="0"/>
        <v>3.9086172122933132</v>
      </c>
      <c r="I31" s="3">
        <f t="shared" si="2"/>
        <v>-6.1297271550610599E-2</v>
      </c>
      <c r="J31" s="3">
        <v>-0.25895325369495897</v>
      </c>
      <c r="K31" s="3">
        <f t="shared" si="1"/>
        <v>4.4474014702814477</v>
      </c>
      <c r="L31" s="3">
        <f t="shared" si="3"/>
        <v>1.0200695945969507E-2</v>
      </c>
      <c r="M31" s="3">
        <f t="shared" si="4"/>
        <v>4.1158364286551459</v>
      </c>
      <c r="N31" s="3">
        <f t="shared" si="5"/>
        <v>2.3460442378766544E-3</v>
      </c>
    </row>
    <row r="32" spans="2:14" x14ac:dyDescent="0.3">
      <c r="B32" s="3" t="s">
        <v>59</v>
      </c>
      <c r="C32" s="3">
        <v>-1.0951296090931</v>
      </c>
      <c r="D32" s="3">
        <v>85.286356575741706</v>
      </c>
      <c r="E32" s="3">
        <v>61.534734768798501</v>
      </c>
      <c r="F32" s="3">
        <v>56.35</v>
      </c>
      <c r="H32" s="3">
        <f t="shared" si="0"/>
        <v>4.0315822404857853</v>
      </c>
      <c r="I32" s="3">
        <f t="shared" si="2"/>
        <v>0.12296502819247213</v>
      </c>
      <c r="J32" s="3">
        <v>-1.0951296090931</v>
      </c>
      <c r="K32" s="3">
        <f t="shared" si="1"/>
        <v>4.4460144953477778</v>
      </c>
      <c r="L32" s="3">
        <f t="shared" si="3"/>
        <v>-1.3869749336699044E-3</v>
      </c>
      <c r="M32" s="3">
        <f t="shared" si="4"/>
        <v>4.1196018083655348</v>
      </c>
      <c r="N32" s="3">
        <f t="shared" si="5"/>
        <v>3.7653797103889275E-3</v>
      </c>
    </row>
    <row r="33" spans="2:14" x14ac:dyDescent="0.3">
      <c r="B33" s="3" t="s">
        <v>60</v>
      </c>
      <c r="C33" s="3">
        <v>0.13326513587143701</v>
      </c>
      <c r="D33" s="3">
        <v>85.944410965682295</v>
      </c>
      <c r="E33" s="3">
        <v>61.5844971907229</v>
      </c>
      <c r="F33" s="3">
        <v>59</v>
      </c>
      <c r="H33" s="3">
        <f t="shared" si="0"/>
        <v>4.0775374439057197</v>
      </c>
      <c r="I33" s="3">
        <f t="shared" si="2"/>
        <v>4.5955203419934421E-2</v>
      </c>
      <c r="J33" s="3">
        <v>0.13326513587143701</v>
      </c>
      <c r="K33" s="3">
        <f t="shared" si="1"/>
        <v>4.4537007031372529</v>
      </c>
      <c r="L33" s="3">
        <f t="shared" si="3"/>
        <v>7.6862077894750414E-3</v>
      </c>
      <c r="M33" s="3">
        <f t="shared" si="4"/>
        <v>4.1204101698837503</v>
      </c>
      <c r="N33" s="3">
        <f t="shared" si="5"/>
        <v>8.0836151821550573E-4</v>
      </c>
    </row>
    <row r="34" spans="2:14" x14ac:dyDescent="0.3">
      <c r="B34" s="3" t="s">
        <v>61</v>
      </c>
      <c r="C34" s="3">
        <v>1.85677088349374</v>
      </c>
      <c r="D34" s="3">
        <v>85.679119551804106</v>
      </c>
      <c r="E34" s="3">
        <v>61.506705679703202</v>
      </c>
      <c r="F34" s="3">
        <v>64.989999999999995</v>
      </c>
      <c r="H34" s="3">
        <f t="shared" si="0"/>
        <v>4.1742334119062576</v>
      </c>
      <c r="I34" s="3">
        <f t="shared" si="2"/>
        <v>9.6695968000537924E-2</v>
      </c>
      <c r="J34" s="3">
        <v>1.85677088349374</v>
      </c>
      <c r="K34" s="3">
        <f t="shared" si="1"/>
        <v>4.4506091500806733</v>
      </c>
      <c r="L34" s="3">
        <f t="shared" si="3"/>
        <v>-3.091553056579599E-3</v>
      </c>
      <c r="M34" s="3">
        <f t="shared" si="4"/>
        <v>4.1191462043108693</v>
      </c>
      <c r="N34" s="3">
        <f t="shared" si="5"/>
        <v>-1.2639655728809984E-3</v>
      </c>
    </row>
    <row r="35" spans="2:14" x14ac:dyDescent="0.3">
      <c r="B35" s="3" t="s">
        <v>62</v>
      </c>
      <c r="C35" s="3">
        <v>2.56880994272271</v>
      </c>
      <c r="D35" s="3">
        <v>86.524570761507405</v>
      </c>
      <c r="E35" s="3">
        <v>61.456366011873698</v>
      </c>
      <c r="F35" s="3">
        <v>65.59</v>
      </c>
      <c r="H35" s="3">
        <f t="shared" si="0"/>
        <v>4.1834232453056446</v>
      </c>
      <c r="I35" s="3">
        <f t="shared" si="2"/>
        <v>9.1898333993869485E-3</v>
      </c>
      <c r="J35" s="3">
        <v>2.56880994272271</v>
      </c>
      <c r="K35" s="3">
        <f t="shared" si="1"/>
        <v>4.4604284286481652</v>
      </c>
      <c r="L35" s="3">
        <f t="shared" si="3"/>
        <v>9.8192785674919847E-3</v>
      </c>
      <c r="M35" s="3">
        <f t="shared" si="4"/>
        <v>4.1183274272593637</v>
      </c>
      <c r="N35" s="3">
        <f t="shared" si="5"/>
        <v>-8.1877705150557034E-4</v>
      </c>
    </row>
    <row r="36" spans="2:14" x14ac:dyDescent="0.3">
      <c r="B36" s="3" t="s">
        <v>63</v>
      </c>
      <c r="C36" s="3">
        <v>1.9077919982309699</v>
      </c>
      <c r="D36" s="3">
        <v>87.123428971605193</v>
      </c>
      <c r="E36" s="3">
        <v>61.582040268367003</v>
      </c>
      <c r="F36" s="3">
        <v>62.26</v>
      </c>
      <c r="H36" s="3">
        <f t="shared" si="0"/>
        <v>4.131319165013462</v>
      </c>
      <c r="I36" s="3">
        <f t="shared" si="2"/>
        <v>-5.2104080292182609E-2</v>
      </c>
      <c r="J36" s="3">
        <v>1.9077919982309699</v>
      </c>
      <c r="K36" s="3">
        <f t="shared" si="1"/>
        <v>4.4673258370283575</v>
      </c>
      <c r="L36" s="3">
        <f t="shared" si="3"/>
        <v>6.8974083801922603E-3</v>
      </c>
      <c r="M36" s="3">
        <f t="shared" si="4"/>
        <v>4.1203702739443679</v>
      </c>
      <c r="N36" s="3">
        <f t="shared" si="5"/>
        <v>2.0428466850042071E-3</v>
      </c>
    </row>
    <row r="37" spans="2:14" x14ac:dyDescent="0.3">
      <c r="B37" s="3" t="s">
        <v>64</v>
      </c>
      <c r="C37" s="3">
        <v>-0.72678399485641398</v>
      </c>
      <c r="D37" s="3">
        <v>89.0875532678117</v>
      </c>
      <c r="E37" s="3">
        <v>61.733954963534401</v>
      </c>
      <c r="F37" s="3">
        <v>58.32</v>
      </c>
      <c r="H37" s="3">
        <f t="shared" si="0"/>
        <v>4.0659450877004026</v>
      </c>
      <c r="I37" s="3">
        <f t="shared" si="2"/>
        <v>-6.5374077313059331E-2</v>
      </c>
      <c r="J37" s="3">
        <v>-0.72678399485641398</v>
      </c>
      <c r="K37" s="3">
        <f t="shared" si="1"/>
        <v>4.4896196307546994</v>
      </c>
      <c r="L37" s="3">
        <f t="shared" si="3"/>
        <v>2.2293793726341882E-2</v>
      </c>
      <c r="M37" s="3">
        <f t="shared" si="4"/>
        <v>4.1228341030969604</v>
      </c>
      <c r="N37" s="3">
        <f t="shared" si="5"/>
        <v>2.4638291525924672E-3</v>
      </c>
    </row>
    <row r="38" spans="2:14" x14ac:dyDescent="0.3">
      <c r="B38" s="3" t="s">
        <v>65</v>
      </c>
      <c r="C38" s="3">
        <v>1.2985681368323401</v>
      </c>
      <c r="D38" s="3">
        <v>87.912113186235104</v>
      </c>
      <c r="E38" s="3">
        <v>61.975019456148402</v>
      </c>
      <c r="F38" s="3">
        <v>59.41</v>
      </c>
      <c r="H38" s="3">
        <f t="shared" si="0"/>
        <v>4.0844625623676496</v>
      </c>
      <c r="I38" s="3">
        <f t="shared" si="2"/>
        <v>1.8517474667246958E-2</v>
      </c>
      <c r="J38" s="3">
        <v>1.2985681368323401</v>
      </c>
      <c r="K38" s="3">
        <f t="shared" si="1"/>
        <v>4.4763376016385061</v>
      </c>
      <c r="L38" s="3">
        <f t="shared" si="3"/>
        <v>-1.328202911619325E-2</v>
      </c>
      <c r="M38" s="3">
        <f t="shared" si="4"/>
        <v>4.1267313918566373</v>
      </c>
      <c r="N38" s="3">
        <f t="shared" si="5"/>
        <v>3.8972887596768757E-3</v>
      </c>
    </row>
    <row r="39" spans="2:14" x14ac:dyDescent="0.3">
      <c r="B39" s="3" t="s">
        <v>66</v>
      </c>
      <c r="C39" s="3">
        <v>-4.0149278006564197E-2</v>
      </c>
      <c r="D39" s="3">
        <v>89.605726630936104</v>
      </c>
      <c r="E39" s="3">
        <v>62.325860488848598</v>
      </c>
      <c r="F39" s="3">
        <v>65.489999999999995</v>
      </c>
      <c r="H39" s="3">
        <f t="shared" si="0"/>
        <v>4.1818974592299618</v>
      </c>
      <c r="I39" s="3">
        <f t="shared" si="2"/>
        <v>9.7434896862312215E-2</v>
      </c>
      <c r="J39" s="3">
        <v>-4.0149278006564197E-2</v>
      </c>
      <c r="K39" s="3">
        <f t="shared" si="1"/>
        <v>4.4954192312302146</v>
      </c>
      <c r="L39" s="3">
        <f t="shared" si="3"/>
        <v>1.9081629591708449E-2</v>
      </c>
      <c r="M39" s="3">
        <f t="shared" si="4"/>
        <v>4.1323764357940336</v>
      </c>
      <c r="N39" s="3">
        <f t="shared" si="5"/>
        <v>5.645043937396288E-3</v>
      </c>
    </row>
    <row r="40" spans="2:14" x14ac:dyDescent="0.3">
      <c r="B40" s="3" t="s">
        <v>67</v>
      </c>
      <c r="C40" s="3">
        <v>-3.2055724764512799</v>
      </c>
      <c r="D40" s="3">
        <v>89.948123929291299</v>
      </c>
      <c r="E40" s="3">
        <v>62.609234651561898</v>
      </c>
      <c r="F40" s="3">
        <v>61.63</v>
      </c>
      <c r="H40" s="3">
        <f t="shared" si="0"/>
        <v>4.1211487649741514</v>
      </c>
      <c r="I40" s="3">
        <f t="shared" si="2"/>
        <v>-6.074869425581042E-2</v>
      </c>
      <c r="J40" s="3">
        <v>-3.2055724764512799</v>
      </c>
      <c r="K40" s="3">
        <f t="shared" si="1"/>
        <v>4.499233103361818</v>
      </c>
      <c r="L40" s="3">
        <f t="shared" si="3"/>
        <v>3.8138721316034463E-3</v>
      </c>
      <c r="M40" s="3">
        <f t="shared" si="4"/>
        <v>4.1369127856218419</v>
      </c>
      <c r="N40" s="3">
        <f t="shared" si="5"/>
        <v>4.5363498278083725E-3</v>
      </c>
    </row>
    <row r="41" spans="2:14" x14ac:dyDescent="0.3">
      <c r="B41" s="3" t="s">
        <v>68</v>
      </c>
      <c r="C41" s="3">
        <v>1.03427871229954</v>
      </c>
      <c r="D41" s="3">
        <v>91.626606678998499</v>
      </c>
      <c r="E41" s="3">
        <v>62.616662170578302</v>
      </c>
      <c r="F41" s="3">
        <v>62.69</v>
      </c>
      <c r="H41" s="3">
        <f t="shared" si="0"/>
        <v>4.1382019452858767</v>
      </c>
      <c r="I41" s="3">
        <f t="shared" si="2"/>
        <v>1.7053180311725313E-2</v>
      </c>
      <c r="J41" s="3">
        <v>1.03427871229954</v>
      </c>
      <c r="K41" s="3">
        <f t="shared" si="1"/>
        <v>4.5177216954309554</v>
      </c>
      <c r="L41" s="3">
        <f t="shared" si="3"/>
        <v>1.8488592069137333E-2</v>
      </c>
      <c r="M41" s="3">
        <f t="shared" si="4"/>
        <v>4.1370314115484845</v>
      </c>
      <c r="N41" s="3">
        <f t="shared" si="5"/>
        <v>1.1862592664257932E-4</v>
      </c>
    </row>
    <row r="42" spans="2:14" x14ac:dyDescent="0.3">
      <c r="B42" s="3" t="s">
        <v>69</v>
      </c>
      <c r="C42" s="3">
        <v>0.108058457324139</v>
      </c>
      <c r="D42" s="3">
        <v>90.831662978657505</v>
      </c>
      <c r="E42" s="3">
        <v>62.937777103461798</v>
      </c>
      <c r="F42" s="3">
        <v>69.44</v>
      </c>
      <c r="H42" s="3">
        <f t="shared" si="0"/>
        <v>4.2404630703520949</v>
      </c>
      <c r="I42" s="3">
        <f t="shared" si="2"/>
        <v>0.10226112506621821</v>
      </c>
      <c r="J42" s="3">
        <v>0.108058457324139</v>
      </c>
      <c r="K42" s="3">
        <f t="shared" si="1"/>
        <v>4.5090079360403159</v>
      </c>
      <c r="L42" s="3">
        <f t="shared" si="3"/>
        <v>-8.7137593906394528E-3</v>
      </c>
      <c r="M42" s="3">
        <f t="shared" si="4"/>
        <v>4.142146573304629</v>
      </c>
      <c r="N42" s="3">
        <f t="shared" si="5"/>
        <v>5.1151617561444596E-3</v>
      </c>
    </row>
    <row r="43" spans="2:14" x14ac:dyDescent="0.3">
      <c r="B43" s="3" t="s">
        <v>70</v>
      </c>
      <c r="C43" s="3">
        <v>-0.16129036363733701</v>
      </c>
      <c r="D43" s="3">
        <v>90.974654316576306</v>
      </c>
      <c r="E43" s="3">
        <v>62.6748289612311</v>
      </c>
      <c r="F43" s="3">
        <v>70.84</v>
      </c>
      <c r="H43" s="3">
        <f t="shared" si="0"/>
        <v>4.2604238129146328</v>
      </c>
      <c r="I43" s="3">
        <f t="shared" si="2"/>
        <v>1.9960742562537881E-2</v>
      </c>
      <c r="J43" s="3">
        <v>-0.16129036363733701</v>
      </c>
      <c r="K43" s="3">
        <f t="shared" si="1"/>
        <v>4.5105809437281721</v>
      </c>
      <c r="L43" s="3">
        <f t="shared" si="3"/>
        <v>1.5730076878561761E-3</v>
      </c>
      <c r="M43" s="3">
        <f t="shared" si="4"/>
        <v>4.1379599150614723</v>
      </c>
      <c r="N43" s="3">
        <f t="shared" si="5"/>
        <v>-4.1866582431566712E-3</v>
      </c>
    </row>
    <row r="44" spans="2:14" x14ac:dyDescent="0.3">
      <c r="B44" s="3" t="s">
        <v>71</v>
      </c>
      <c r="C44" s="3">
        <v>-1.17520416716969</v>
      </c>
      <c r="D44" s="3">
        <v>91.8803909655891</v>
      </c>
      <c r="E44" s="3">
        <v>62.661415129600101</v>
      </c>
      <c r="F44" s="3">
        <v>70.95</v>
      </c>
      <c r="H44" s="3">
        <f t="shared" si="0"/>
        <v>4.2619754036060513</v>
      </c>
      <c r="I44" s="3">
        <f t="shared" si="2"/>
        <v>1.5515906914185251E-3</v>
      </c>
      <c r="J44" s="3">
        <v>-1.17520416716969</v>
      </c>
      <c r="K44" s="3">
        <f t="shared" si="1"/>
        <v>4.5204876329880426</v>
      </c>
      <c r="L44" s="3">
        <f t="shared" si="3"/>
        <v>9.9066892598704825E-3</v>
      </c>
      <c r="M44" s="3">
        <f t="shared" si="4"/>
        <v>4.1377458695269267</v>
      </c>
      <c r="N44" s="3">
        <f t="shared" si="5"/>
        <v>-2.1404553454562603E-4</v>
      </c>
    </row>
    <row r="45" spans="2:14" x14ac:dyDescent="0.3">
      <c r="B45" s="3" t="s">
        <v>72</v>
      </c>
      <c r="C45" s="3">
        <v>-0.28196654333030102</v>
      </c>
      <c r="D45" s="3">
        <v>91.539418378902397</v>
      </c>
      <c r="E45" s="3">
        <v>62.533937251036399</v>
      </c>
      <c r="F45" s="3">
        <v>74.41</v>
      </c>
      <c r="H45" s="3">
        <f t="shared" si="0"/>
        <v>4.3095903414091694</v>
      </c>
      <c r="I45" s="3">
        <f t="shared" si="2"/>
        <v>4.7614937803118096E-2</v>
      </c>
      <c r="J45" s="3">
        <v>-0.28196654333030102</v>
      </c>
      <c r="K45" s="3">
        <f t="shared" si="1"/>
        <v>4.5167696814681735</v>
      </c>
      <c r="L45" s="3">
        <f t="shared" si="3"/>
        <v>-3.7179515198690893E-3</v>
      </c>
      <c r="M45" s="3">
        <f t="shared" si="4"/>
        <v>4.1357094053899459</v>
      </c>
      <c r="N45" s="3">
        <f t="shared" si="5"/>
        <v>-2.0364641369807757E-3</v>
      </c>
    </row>
    <row r="46" spans="2:14" x14ac:dyDescent="0.3">
      <c r="B46" s="3" t="s">
        <v>73</v>
      </c>
      <c r="C46" s="3">
        <v>0.29436624295816499</v>
      </c>
      <c r="D46" s="3">
        <v>93.250601293015606</v>
      </c>
      <c r="E46" s="3">
        <v>62.649833521702398</v>
      </c>
      <c r="F46" s="3">
        <v>73.040000000000006</v>
      </c>
      <c r="H46" s="3">
        <f t="shared" si="0"/>
        <v>4.2910072362867133</v>
      </c>
      <c r="I46" s="3">
        <f t="shared" si="2"/>
        <v>-1.8583105122456089E-2</v>
      </c>
      <c r="J46" s="3">
        <v>0.29436624295816499</v>
      </c>
      <c r="K46" s="3">
        <f t="shared" si="1"/>
        <v>4.5352905066856088</v>
      </c>
      <c r="L46" s="3">
        <f t="shared" si="3"/>
        <v>1.8520825217435366E-2</v>
      </c>
      <c r="M46" s="3">
        <f t="shared" si="4"/>
        <v>4.1375610240632454</v>
      </c>
      <c r="N46" s="3">
        <f t="shared" si="5"/>
        <v>1.8516186732995266E-3</v>
      </c>
    </row>
    <row r="47" spans="2:14" x14ac:dyDescent="0.3">
      <c r="B47" s="3" t="s">
        <v>74</v>
      </c>
      <c r="C47" s="3">
        <v>0.59906723136962703</v>
      </c>
      <c r="D47" s="3">
        <v>92.604115085792898</v>
      </c>
      <c r="E47" s="3">
        <v>62.676933959495003</v>
      </c>
      <c r="F47" s="3">
        <v>63.8</v>
      </c>
      <c r="H47" s="3">
        <f t="shared" si="0"/>
        <v>4.1557531903507439</v>
      </c>
      <c r="I47" s="3">
        <f t="shared" si="2"/>
        <v>-0.13525404593596946</v>
      </c>
      <c r="J47" s="3">
        <v>0.59906723136962703</v>
      </c>
      <c r="K47" s="3">
        <f t="shared" si="1"/>
        <v>4.5283335800361479</v>
      </c>
      <c r="L47" s="3">
        <f t="shared" si="3"/>
        <v>-6.9569266494609039E-3</v>
      </c>
      <c r="M47" s="3">
        <f t="shared" si="4"/>
        <v>4.1379935005207447</v>
      </c>
      <c r="N47" s="3">
        <f t="shared" si="5"/>
        <v>4.3247645749922015E-4</v>
      </c>
    </row>
    <row r="48" spans="2:14" x14ac:dyDescent="0.3">
      <c r="B48" s="3" t="s">
        <v>75</v>
      </c>
      <c r="C48" s="3">
        <v>-0.21806124670983601</v>
      </c>
      <c r="D48" s="3">
        <v>93.601305904312298</v>
      </c>
      <c r="E48" s="3">
        <v>62.745058327605001</v>
      </c>
      <c r="F48" s="3">
        <v>58.89</v>
      </c>
      <c r="H48" s="3">
        <f t="shared" si="0"/>
        <v>4.0756712969564797</v>
      </c>
      <c r="I48" s="3">
        <f t="shared" si="2"/>
        <v>-8.0081893394264192E-2</v>
      </c>
      <c r="J48" s="3">
        <v>-0.21806124670983601</v>
      </c>
      <c r="K48" s="3">
        <f t="shared" si="1"/>
        <v>4.5390443353553671</v>
      </c>
      <c r="L48" s="3">
        <f t="shared" si="3"/>
        <v>1.0710755319219167E-2</v>
      </c>
      <c r="M48" s="3">
        <f t="shared" si="4"/>
        <v>4.1390798231594967</v>
      </c>
      <c r="N48" s="3">
        <f t="shared" si="5"/>
        <v>1.0863226387520797E-3</v>
      </c>
    </row>
    <row r="49" spans="2:14" x14ac:dyDescent="0.3">
      <c r="B49" s="3" t="s">
        <v>76</v>
      </c>
      <c r="C49" s="3">
        <v>0.57831316097924201</v>
      </c>
      <c r="D49" s="3">
        <v>93.695774866349794</v>
      </c>
      <c r="E49" s="3">
        <v>62.6806054693294</v>
      </c>
      <c r="F49" s="3">
        <v>59.08</v>
      </c>
      <c r="H49" s="3">
        <f t="shared" si="0"/>
        <v>4.0788924576631791</v>
      </c>
      <c r="I49" s="3">
        <f t="shared" si="2"/>
        <v>3.2211607066994219E-3</v>
      </c>
      <c r="J49" s="3">
        <v>0.57831316097924201</v>
      </c>
      <c r="K49" s="3">
        <f t="shared" si="1"/>
        <v>4.5400530960862842</v>
      </c>
      <c r="L49" s="3">
        <f t="shared" si="3"/>
        <v>1.0087607309170465E-3</v>
      </c>
      <c r="M49" s="3">
        <f t="shared" si="4"/>
        <v>4.1380520771305305</v>
      </c>
      <c r="N49" s="3">
        <f t="shared" si="5"/>
        <v>-1.0277460289662699E-3</v>
      </c>
    </row>
    <row r="50" spans="2:14" x14ac:dyDescent="0.3">
      <c r="B50" s="3" t="s">
        <v>77</v>
      </c>
      <c r="C50" s="3">
        <v>0.67305574950392599</v>
      </c>
      <c r="D50" s="3">
        <v>94.634346792009495</v>
      </c>
      <c r="E50" s="3">
        <v>62.678117631265998</v>
      </c>
      <c r="F50" s="3">
        <v>61.96</v>
      </c>
      <c r="H50" s="3">
        <f t="shared" si="0"/>
        <v>4.1264890155486675</v>
      </c>
      <c r="I50" s="3">
        <f t="shared" si="2"/>
        <v>4.7596557885488444E-2</v>
      </c>
      <c r="J50" s="3">
        <v>0.67305574950392599</v>
      </c>
      <c r="K50" s="3">
        <f t="shared" si="1"/>
        <v>4.5500204840737553</v>
      </c>
      <c r="L50" s="3">
        <f t="shared" si="3"/>
        <v>9.9673879874710991E-3</v>
      </c>
      <c r="M50" s="3">
        <f t="shared" si="4"/>
        <v>4.138012385627583</v>
      </c>
      <c r="N50" s="3">
        <f t="shared" si="5"/>
        <v>-3.9691502947469814E-5</v>
      </c>
    </row>
    <row r="51" spans="2:14" x14ac:dyDescent="0.3">
      <c r="B51" s="3" t="s">
        <v>78</v>
      </c>
      <c r="C51" s="3">
        <v>-0.40721446979183201</v>
      </c>
      <c r="D51" s="3">
        <v>96.231198938094593</v>
      </c>
      <c r="E51" s="3">
        <v>62.7276898601054</v>
      </c>
      <c r="F51" s="3">
        <v>54.51</v>
      </c>
      <c r="H51" s="3">
        <f t="shared" si="0"/>
        <v>3.9983841710761894</v>
      </c>
      <c r="I51" s="3">
        <f t="shared" si="2"/>
        <v>-0.12810484447247816</v>
      </c>
      <c r="J51" s="3">
        <v>-0.40721446979183201</v>
      </c>
      <c r="K51" s="3">
        <f t="shared" si="1"/>
        <v>4.5667536183792814</v>
      </c>
      <c r="L51" s="3">
        <f t="shared" si="3"/>
        <v>1.6733134305526143E-2</v>
      </c>
      <c r="M51" s="3">
        <f t="shared" si="4"/>
        <v>4.1388029747145332</v>
      </c>
      <c r="N51" s="3">
        <f t="shared" si="5"/>
        <v>7.9058908695017749E-4</v>
      </c>
    </row>
    <row r="52" spans="2:14" x14ac:dyDescent="0.3">
      <c r="B52" s="3" t="s">
        <v>79</v>
      </c>
      <c r="C52" s="3">
        <v>0.65016608623708105</v>
      </c>
      <c r="D52" s="3">
        <v>96.351605509679999</v>
      </c>
      <c r="E52" s="3">
        <v>62.835439333054097</v>
      </c>
      <c r="F52" s="3">
        <v>59.28</v>
      </c>
      <c r="H52" s="3">
        <f t="shared" si="0"/>
        <v>4.0822719809878318</v>
      </c>
      <c r="I52" s="3">
        <f t="shared" si="2"/>
        <v>8.3887809911642464E-2</v>
      </c>
      <c r="J52" s="3">
        <v>0.65016608623708105</v>
      </c>
      <c r="K52" s="3">
        <f t="shared" si="1"/>
        <v>4.5680040580290688</v>
      </c>
      <c r="L52" s="3">
        <f t="shared" si="3"/>
        <v>1.2504396497874382E-3</v>
      </c>
      <c r="M52" s="3">
        <f t="shared" si="4"/>
        <v>4.1405192348952014</v>
      </c>
      <c r="N52" s="3">
        <f t="shared" si="5"/>
        <v>1.7162601806681721E-3</v>
      </c>
    </row>
    <row r="53" spans="2:14" x14ac:dyDescent="0.3">
      <c r="B53" s="3" t="s">
        <v>80</v>
      </c>
      <c r="C53" s="3">
        <v>9.6415003455277204E-2</v>
      </c>
      <c r="D53" s="3">
        <v>97.864034169469804</v>
      </c>
      <c r="E53" s="3">
        <v>62.775978824181998</v>
      </c>
      <c r="F53" s="3">
        <v>60.44</v>
      </c>
      <c r="H53" s="3">
        <f t="shared" si="0"/>
        <v>4.1016511374045388</v>
      </c>
      <c r="I53" s="3">
        <f t="shared" si="2"/>
        <v>1.9379156416706955E-2</v>
      </c>
      <c r="J53" s="3">
        <v>9.6415003455277204E-2</v>
      </c>
      <c r="K53" s="3">
        <f t="shared" si="1"/>
        <v>4.583579108897152</v>
      </c>
      <c r="L53" s="3">
        <f t="shared" si="3"/>
        <v>1.5575050868083196E-2</v>
      </c>
      <c r="M53" s="3">
        <f t="shared" si="4"/>
        <v>4.1395724975016472</v>
      </c>
      <c r="N53" s="3">
        <f t="shared" si="5"/>
        <v>-9.4673739355410902E-4</v>
      </c>
    </row>
    <row r="54" spans="2:14" x14ac:dyDescent="0.3">
      <c r="B54" s="3" t="s">
        <v>81</v>
      </c>
      <c r="C54" s="3">
        <v>0.81585836976340498</v>
      </c>
      <c r="D54" s="3">
        <v>97.4821001229232</v>
      </c>
      <c r="E54" s="3">
        <v>62.892497384684503</v>
      </c>
      <c r="F54" s="3">
        <v>63.98</v>
      </c>
      <c r="H54" s="3">
        <f t="shared" si="0"/>
        <v>4.1585705345213722</v>
      </c>
      <c r="I54" s="3">
        <f t="shared" si="2"/>
        <v>5.6919397116833359E-2</v>
      </c>
      <c r="J54" s="3">
        <v>0.81585836976340498</v>
      </c>
      <c r="K54" s="3">
        <f t="shared" si="1"/>
        <v>4.5796687726665342</v>
      </c>
      <c r="L54" s="3">
        <f t="shared" si="3"/>
        <v>-3.9103362306178724E-3</v>
      </c>
      <c r="M54" s="3">
        <f t="shared" si="4"/>
        <v>4.141426878129268</v>
      </c>
      <c r="N54" s="3">
        <f t="shared" si="5"/>
        <v>1.8543806276207775E-3</v>
      </c>
    </row>
    <row r="55" spans="2:14" x14ac:dyDescent="0.3">
      <c r="B55" s="3" t="s">
        <v>82</v>
      </c>
      <c r="C55" s="3">
        <v>0.38468945712587099</v>
      </c>
      <c r="D55" s="3">
        <v>100.531587542926</v>
      </c>
      <c r="E55" s="3">
        <v>63.270806046780002</v>
      </c>
      <c r="F55" s="3">
        <v>63.46</v>
      </c>
      <c r="H55" s="3">
        <f t="shared" si="0"/>
        <v>4.1504097861550493</v>
      </c>
      <c r="I55" s="3">
        <f t="shared" si="2"/>
        <v>-8.1607483663228564E-3</v>
      </c>
      <c r="J55" s="3">
        <v>0.38468945712587099</v>
      </c>
      <c r="K55" s="3">
        <f t="shared" si="1"/>
        <v>4.6104719820257154</v>
      </c>
      <c r="L55" s="3">
        <f t="shared" si="3"/>
        <v>3.0803209359181238E-2</v>
      </c>
      <c r="M55" s="3">
        <f t="shared" si="4"/>
        <v>4.1474240228718573</v>
      </c>
      <c r="N55" s="3">
        <f t="shared" si="5"/>
        <v>5.9971447425892777E-3</v>
      </c>
    </row>
    <row r="56" spans="2:14" x14ac:dyDescent="0.3">
      <c r="B56" s="3" t="s">
        <v>83</v>
      </c>
      <c r="C56" s="3">
        <v>0.243611701056868</v>
      </c>
      <c r="D56" s="3">
        <v>99.565243122542896</v>
      </c>
      <c r="E56" s="3">
        <v>63.636636417468402</v>
      </c>
      <c r="F56" s="3">
        <v>67.489999999999995</v>
      </c>
      <c r="H56" s="3">
        <f t="shared" si="0"/>
        <v>4.2119794387553151</v>
      </c>
      <c r="I56" s="3">
        <f t="shared" si="2"/>
        <v>6.1569652600265812E-2</v>
      </c>
      <c r="J56" s="3">
        <v>0.243611701056868</v>
      </c>
      <c r="K56" s="3">
        <f t="shared" si="1"/>
        <v>4.6008131390551226</v>
      </c>
      <c r="L56" s="3">
        <f t="shared" si="3"/>
        <v>-9.6588429705928291E-3</v>
      </c>
      <c r="M56" s="3">
        <f t="shared" si="4"/>
        <v>4.1531893487960643</v>
      </c>
      <c r="N56" s="3">
        <f t="shared" si="5"/>
        <v>5.7653259242069765E-3</v>
      </c>
    </row>
    <row r="57" spans="2:14" x14ac:dyDescent="0.3">
      <c r="B57" s="3" t="s">
        <v>84</v>
      </c>
      <c r="C57" s="3">
        <v>0.55232833754251798</v>
      </c>
      <c r="D57" s="3">
        <v>100.20515896463699</v>
      </c>
      <c r="E57" s="3">
        <v>63.9106681165729</v>
      </c>
      <c r="F57" s="3">
        <v>74.12</v>
      </c>
      <c r="H57" s="3">
        <f t="shared" si="0"/>
        <v>4.3056854014171595</v>
      </c>
      <c r="I57" s="3">
        <f t="shared" si="2"/>
        <v>9.3705962661844389E-2</v>
      </c>
      <c r="J57" s="3">
        <v>0.55232833754251798</v>
      </c>
      <c r="K57" s="3">
        <f t="shared" si="1"/>
        <v>4.6072196739983955</v>
      </c>
      <c r="L57" s="3">
        <f t="shared" si="3"/>
        <v>6.4065349432729235E-3</v>
      </c>
      <c r="M57" s="3">
        <f t="shared" si="4"/>
        <v>4.1574862976299682</v>
      </c>
      <c r="N57" s="3">
        <f t="shared" si="5"/>
        <v>4.2969488339039685E-3</v>
      </c>
    </row>
    <row r="58" spans="2:14" x14ac:dyDescent="0.3">
      <c r="B58" s="3" t="s">
        <v>85</v>
      </c>
      <c r="C58" s="3">
        <v>-8.47327520806129E-2</v>
      </c>
      <c r="D58" s="3">
        <v>100.64022761230299</v>
      </c>
      <c r="E58" s="3">
        <v>64.022727701885998</v>
      </c>
      <c r="F58" s="3">
        <v>72.36</v>
      </c>
      <c r="H58" s="3">
        <f t="shared" si="0"/>
        <v>4.2816536605270947</v>
      </c>
      <c r="I58" s="3">
        <f t="shared" si="2"/>
        <v>-2.4031740890064768E-2</v>
      </c>
      <c r="J58" s="3">
        <v>-8.47327520806129E-2</v>
      </c>
      <c r="K58" s="3">
        <f t="shared" si="1"/>
        <v>4.6115520545980528</v>
      </c>
      <c r="L58" s="3">
        <f t="shared" si="3"/>
        <v>4.3323805996573483E-3</v>
      </c>
      <c r="M58" s="3">
        <f t="shared" si="4"/>
        <v>4.1592381406613361</v>
      </c>
      <c r="N58" s="3">
        <f t="shared" si="5"/>
        <v>1.7518430313678834E-3</v>
      </c>
    </row>
    <row r="59" spans="2:14" x14ac:dyDescent="0.3">
      <c r="B59" s="3" t="s">
        <v>86</v>
      </c>
      <c r="C59" s="3">
        <v>-0.113523740031823</v>
      </c>
      <c r="D59" s="3">
        <v>100.947668560745</v>
      </c>
      <c r="E59" s="3">
        <v>64.427529662001106</v>
      </c>
      <c r="F59" s="3">
        <v>79.92</v>
      </c>
      <c r="H59" s="3">
        <f t="shared" si="0"/>
        <v>4.3810261343402983</v>
      </c>
      <c r="I59" s="3">
        <f t="shared" si="2"/>
        <v>9.9372473813203577E-2</v>
      </c>
      <c r="J59" s="3">
        <v>-0.113523740031823</v>
      </c>
      <c r="K59" s="3">
        <f t="shared" si="1"/>
        <v>4.6146022495020098</v>
      </c>
      <c r="L59" s="3">
        <f t="shared" si="3"/>
        <v>3.0501949039569709E-3</v>
      </c>
      <c r="M59" s="3">
        <f t="shared" si="4"/>
        <v>4.1655410209907151</v>
      </c>
      <c r="N59" s="3">
        <f t="shared" si="5"/>
        <v>6.3028803293789792E-3</v>
      </c>
    </row>
    <row r="60" spans="2:14" x14ac:dyDescent="0.3">
      <c r="B60" s="3" t="s">
        <v>87</v>
      </c>
      <c r="C60" s="3">
        <v>-2.4733947369703499</v>
      </c>
      <c r="D60" s="3">
        <v>102.099911389029</v>
      </c>
      <c r="E60" s="3">
        <v>64.675239514252198</v>
      </c>
      <c r="F60" s="3">
        <v>85.8</v>
      </c>
      <c r="H60" s="3">
        <f t="shared" si="0"/>
        <v>4.4520190064939165</v>
      </c>
      <c r="I60" s="3">
        <f t="shared" si="2"/>
        <v>7.0992872153618158E-2</v>
      </c>
      <c r="J60" s="3">
        <v>-2.4733947369703499</v>
      </c>
      <c r="K60" s="3">
        <f t="shared" si="1"/>
        <v>4.6259518572861005</v>
      </c>
      <c r="L60" s="3">
        <f t="shared" si="3"/>
        <v>1.1349607784090665E-2</v>
      </c>
      <c r="M60" s="3">
        <f t="shared" si="4"/>
        <v>4.169378431416642</v>
      </c>
      <c r="N60" s="3">
        <f t="shared" si="5"/>
        <v>3.8374104259268904E-3</v>
      </c>
    </row>
    <row r="61" spans="2:14" x14ac:dyDescent="0.3">
      <c r="B61" s="3" t="s">
        <v>88</v>
      </c>
      <c r="C61" s="3">
        <v>0.80803294482657995</v>
      </c>
      <c r="D61" s="3">
        <v>103.62196364272999</v>
      </c>
      <c r="E61" s="3">
        <v>64.863130394660701</v>
      </c>
      <c r="F61" s="3">
        <v>94.77</v>
      </c>
      <c r="H61" s="3">
        <f t="shared" si="0"/>
        <v>4.5514529034821036</v>
      </c>
      <c r="I61" s="3">
        <f t="shared" si="2"/>
        <v>9.9433896988187165E-2</v>
      </c>
      <c r="J61" s="3">
        <v>0.80803294482657995</v>
      </c>
      <c r="K61" s="3">
        <f t="shared" si="1"/>
        <v>4.6407493116291079</v>
      </c>
      <c r="L61" s="3">
        <f t="shared" si="3"/>
        <v>1.4797454343007388E-2</v>
      </c>
      <c r="M61" s="3">
        <f t="shared" si="4"/>
        <v>4.1722793635853179</v>
      </c>
      <c r="N61" s="3">
        <f t="shared" si="5"/>
        <v>2.9009321686759293E-3</v>
      </c>
    </row>
    <row r="62" spans="2:14" x14ac:dyDescent="0.3">
      <c r="B62" s="3" t="s">
        <v>89</v>
      </c>
      <c r="C62" s="3">
        <v>-0.72545501776861998</v>
      </c>
      <c r="D62" s="3">
        <v>104.45930042492</v>
      </c>
      <c r="E62" s="3">
        <v>65.136312598631704</v>
      </c>
      <c r="F62" s="3">
        <v>91.69</v>
      </c>
      <c r="H62" s="3">
        <f t="shared" si="0"/>
        <v>4.518413322061809</v>
      </c>
      <c r="I62" s="3">
        <f t="shared" si="2"/>
        <v>-3.3039581420294617E-2</v>
      </c>
      <c r="J62" s="3">
        <v>-0.72545501776861998</v>
      </c>
      <c r="K62" s="3">
        <f t="shared" si="1"/>
        <v>4.6487975259238858</v>
      </c>
      <c r="L62" s="3">
        <f t="shared" si="3"/>
        <v>8.0482142947779778E-3</v>
      </c>
      <c r="M62" s="3">
        <f t="shared" si="4"/>
        <v>4.176482190917489</v>
      </c>
      <c r="N62" s="3">
        <f t="shared" si="5"/>
        <v>4.202827332171033E-3</v>
      </c>
    </row>
    <row r="63" spans="2:14" x14ac:dyDescent="0.3">
      <c r="B63" s="3" t="s">
        <v>90</v>
      </c>
      <c r="C63" s="3">
        <v>0.40000895712331203</v>
      </c>
      <c r="D63" s="3">
        <v>105.38251561066799</v>
      </c>
      <c r="E63" s="3">
        <v>65.328511454148298</v>
      </c>
      <c r="F63" s="3">
        <v>92.97</v>
      </c>
      <c r="H63" s="3">
        <f t="shared" si="0"/>
        <v>4.5322768604677668</v>
      </c>
      <c r="I63" s="3">
        <f t="shared" si="2"/>
        <v>1.3863538405957776E-2</v>
      </c>
      <c r="J63" s="3">
        <v>0.40000895712331203</v>
      </c>
      <c r="K63" s="3">
        <f t="shared" si="1"/>
        <v>4.6575967362998565</v>
      </c>
      <c r="L63" s="3">
        <f t="shared" si="3"/>
        <v>8.7992103759706453E-3</v>
      </c>
      <c r="M63" s="3">
        <f t="shared" si="4"/>
        <v>4.179428563565498</v>
      </c>
      <c r="N63" s="3">
        <f t="shared" si="5"/>
        <v>2.9463726480090102E-3</v>
      </c>
    </row>
    <row r="64" spans="2:14" x14ac:dyDescent="0.3">
      <c r="B64" s="3" t="s">
        <v>91</v>
      </c>
      <c r="C64" s="3">
        <v>-0.40015498579127301</v>
      </c>
      <c r="D64" s="3">
        <v>107.44462433397101</v>
      </c>
      <c r="E64" s="3">
        <v>65.867967060942206</v>
      </c>
      <c r="F64" s="3">
        <v>95.39</v>
      </c>
      <c r="H64" s="3">
        <f t="shared" si="0"/>
        <v>4.5579737511571166</v>
      </c>
      <c r="I64" s="3">
        <f t="shared" si="2"/>
        <v>2.5696890689349772E-2</v>
      </c>
      <c r="J64" s="3">
        <v>-0.40015498579127301</v>
      </c>
      <c r="K64" s="3">
        <f t="shared" si="1"/>
        <v>4.6769755923718668</v>
      </c>
      <c r="L64" s="3">
        <f t="shared" si="3"/>
        <v>1.9378856072010286E-2</v>
      </c>
      <c r="M64" s="3">
        <f t="shared" si="4"/>
        <v>4.1876522392788402</v>
      </c>
      <c r="N64" s="3">
        <f t="shared" si="5"/>
        <v>8.22367571334226E-3</v>
      </c>
    </row>
    <row r="65" spans="2:14" x14ac:dyDescent="0.3">
      <c r="B65" s="3" t="s">
        <v>92</v>
      </c>
      <c r="C65" s="3">
        <v>-2.5093626722868101</v>
      </c>
      <c r="D65" s="3">
        <v>107.42254017407301</v>
      </c>
      <c r="E65" s="3">
        <v>66.258731695395895</v>
      </c>
      <c r="F65" s="3">
        <v>105.45</v>
      </c>
      <c r="H65" s="3">
        <f t="shared" si="0"/>
        <v>4.6582369069247838</v>
      </c>
      <c r="I65" s="3">
        <f t="shared" si="2"/>
        <v>0.1002631557676672</v>
      </c>
      <c r="J65" s="3">
        <v>-2.5093626722868101</v>
      </c>
      <c r="K65" s="3">
        <f t="shared" si="1"/>
        <v>4.676770031321845</v>
      </c>
      <c r="L65" s="3">
        <f t="shared" si="3"/>
        <v>-2.0556105002178526E-4</v>
      </c>
      <c r="M65" s="3">
        <f t="shared" si="4"/>
        <v>4.1935672553573706</v>
      </c>
      <c r="N65" s="3">
        <f t="shared" si="5"/>
        <v>5.9150160785303996E-3</v>
      </c>
    </row>
    <row r="66" spans="2:14" x14ac:dyDescent="0.3">
      <c r="B66" s="3" t="s">
        <v>93</v>
      </c>
      <c r="C66" s="3">
        <v>-1.4512833926487101</v>
      </c>
      <c r="D66" s="3">
        <v>109.03315834948199</v>
      </c>
      <c r="E66" s="3">
        <v>66.369013165886003</v>
      </c>
      <c r="F66" s="3">
        <v>112.58</v>
      </c>
      <c r="H66" s="3">
        <f t="shared" si="0"/>
        <v>4.7236640800358805</v>
      </c>
      <c r="I66" s="3">
        <f t="shared" si="2"/>
        <v>6.5427173111096693E-2</v>
      </c>
      <c r="J66" s="3">
        <v>-1.4512833926487101</v>
      </c>
      <c r="K66" s="3">
        <f t="shared" si="1"/>
        <v>4.6916520410092915</v>
      </c>
      <c r="L66" s="3">
        <f t="shared" si="3"/>
        <v>1.4882009687446462E-2</v>
      </c>
      <c r="M66" s="3">
        <f t="shared" si="4"/>
        <v>4.1952302783699693</v>
      </c>
      <c r="N66" s="3">
        <f t="shared" si="5"/>
        <v>1.6630230125986856E-3</v>
      </c>
    </row>
    <row r="67" spans="2:14" x14ac:dyDescent="0.3">
      <c r="B67" s="3" t="s">
        <v>94</v>
      </c>
      <c r="C67" s="3">
        <v>1.5110556600618501</v>
      </c>
      <c r="D67" s="3">
        <v>108.10549104416801</v>
      </c>
      <c r="E67" s="3">
        <v>66.687361234974702</v>
      </c>
      <c r="F67" s="3">
        <v>125.4</v>
      </c>
      <c r="H67" s="3">
        <f t="shared" si="0"/>
        <v>4.8315086281988204</v>
      </c>
      <c r="I67" s="3">
        <f t="shared" si="2"/>
        <v>0.10784454816293998</v>
      </c>
      <c r="J67" s="3">
        <v>1.5110556600618501</v>
      </c>
      <c r="K67" s="3">
        <f t="shared" si="1"/>
        <v>4.6831075193233431</v>
      </c>
      <c r="L67" s="3">
        <f t="shared" si="3"/>
        <v>-8.5445216859483253E-3</v>
      </c>
      <c r="M67" s="3">
        <f t="shared" si="4"/>
        <v>4.2000154482346854</v>
      </c>
      <c r="N67" s="3">
        <f t="shared" si="5"/>
        <v>4.7851698647161101E-3</v>
      </c>
    </row>
    <row r="68" spans="2:14" x14ac:dyDescent="0.3">
      <c r="B68" s="3" t="s">
        <v>95</v>
      </c>
      <c r="C68" s="3">
        <v>2.9519086081756201</v>
      </c>
      <c r="D68" s="3">
        <v>110.005405635176</v>
      </c>
      <c r="E68" s="3">
        <v>67.273905480146198</v>
      </c>
      <c r="F68" s="3">
        <v>133.88</v>
      </c>
      <c r="H68" s="3">
        <f t="shared" ref="H68:H131" si="6">LN(F68)</f>
        <v>4.8969438763431254</v>
      </c>
      <c r="I68" s="3">
        <f t="shared" si="2"/>
        <v>6.5435248144305014E-2</v>
      </c>
      <c r="J68" s="3">
        <v>2.9519086081756201</v>
      </c>
      <c r="K68" s="3">
        <f t="shared" ref="K68:K131" si="7">LN(D68)</f>
        <v>4.7005295067229449</v>
      </c>
      <c r="L68" s="3">
        <f t="shared" si="3"/>
        <v>1.7421987399601768E-2</v>
      </c>
      <c r="M68" s="3">
        <f t="shared" ref="M68:M131" si="8">LN(E68)</f>
        <v>4.2087724271405431</v>
      </c>
      <c r="N68" s="3">
        <f t="shared" si="5"/>
        <v>8.756978905857693E-3</v>
      </c>
    </row>
    <row r="69" spans="2:14" x14ac:dyDescent="0.3">
      <c r="B69" s="3" t="s">
        <v>96</v>
      </c>
      <c r="C69" s="3">
        <v>-1.15452166312347</v>
      </c>
      <c r="D69" s="3">
        <v>110.046749799037</v>
      </c>
      <c r="E69" s="3">
        <v>67.609343547235298</v>
      </c>
      <c r="F69" s="3">
        <v>133.37</v>
      </c>
      <c r="H69" s="3">
        <f t="shared" si="6"/>
        <v>4.8931272206343035</v>
      </c>
      <c r="I69" s="3">
        <f t="shared" ref="I69:I132" si="9">H69-H68</f>
        <v>-3.8166557088219477E-3</v>
      </c>
      <c r="J69" s="3">
        <v>-1.15452166312347</v>
      </c>
      <c r="K69" s="3">
        <f t="shared" si="7"/>
        <v>4.7009052736793366</v>
      </c>
      <c r="L69" s="3">
        <f t="shared" ref="L69:L132" si="10">K69-K68</f>
        <v>3.7576695639174318E-4</v>
      </c>
      <c r="M69" s="3">
        <f t="shared" si="8"/>
        <v>4.2137461916520378</v>
      </c>
      <c r="N69" s="3">
        <f t="shared" ref="N69:N132" si="11">M69-M68</f>
        <v>4.9737645114946716E-3</v>
      </c>
    </row>
    <row r="70" spans="2:14" x14ac:dyDescent="0.3">
      <c r="B70" s="3" t="s">
        <v>97</v>
      </c>
      <c r="C70" s="3">
        <v>-0.35657512194132601</v>
      </c>
      <c r="D70" s="3">
        <v>109.66553715981701</v>
      </c>
      <c r="E70" s="3">
        <v>68.028877738518403</v>
      </c>
      <c r="F70" s="3">
        <v>116.67</v>
      </c>
      <c r="H70" s="3">
        <f t="shared" si="6"/>
        <v>4.7593494368357661</v>
      </c>
      <c r="I70" s="3">
        <f t="shared" si="9"/>
        <v>-0.13377778379853744</v>
      </c>
      <c r="J70" s="3">
        <v>-0.35657512194132601</v>
      </c>
      <c r="K70" s="3">
        <f t="shared" si="7"/>
        <v>4.6974351625896666</v>
      </c>
      <c r="L70" s="3">
        <f t="shared" si="10"/>
        <v>-3.4701110896699916E-3</v>
      </c>
      <c r="M70" s="3">
        <f t="shared" si="8"/>
        <v>4.2199322876534797</v>
      </c>
      <c r="N70" s="3">
        <f t="shared" si="11"/>
        <v>6.1860960014419319E-3</v>
      </c>
    </row>
    <row r="71" spans="2:14" x14ac:dyDescent="0.3">
      <c r="B71" s="3" t="s">
        <v>98</v>
      </c>
      <c r="C71" s="3">
        <v>0.19322032473564399</v>
      </c>
      <c r="D71" s="3">
        <v>110.70776419330301</v>
      </c>
      <c r="E71" s="3">
        <v>68.432053520238398</v>
      </c>
      <c r="F71" s="3">
        <v>104.11</v>
      </c>
      <c r="H71" s="3">
        <f t="shared" si="6"/>
        <v>4.6454480324866614</v>
      </c>
      <c r="I71" s="3">
        <f t="shared" si="9"/>
        <v>-0.11390140434910467</v>
      </c>
      <c r="J71" s="3">
        <v>0.19322032473564399</v>
      </c>
      <c r="K71" s="3">
        <f t="shared" si="7"/>
        <v>4.7068939745026324</v>
      </c>
      <c r="L71" s="3">
        <f t="shared" si="10"/>
        <v>9.4588119129657144E-3</v>
      </c>
      <c r="M71" s="3">
        <f t="shared" si="8"/>
        <v>4.2258413335779812</v>
      </c>
      <c r="N71" s="3">
        <f t="shared" si="11"/>
        <v>5.909045924501477E-3</v>
      </c>
    </row>
    <row r="72" spans="2:14" x14ac:dyDescent="0.3">
      <c r="B72" s="3" t="s">
        <v>99</v>
      </c>
      <c r="C72" s="3">
        <v>-1.0753988858026999</v>
      </c>
      <c r="D72" s="3">
        <v>110.391834340431</v>
      </c>
      <c r="E72" s="3">
        <v>68.903847682019304</v>
      </c>
      <c r="F72" s="3">
        <v>76.61</v>
      </c>
      <c r="H72" s="3">
        <f t="shared" si="6"/>
        <v>4.3387276165287298</v>
      </c>
      <c r="I72" s="3">
        <f t="shared" si="9"/>
        <v>-0.30672041595793154</v>
      </c>
      <c r="J72" s="3">
        <v>-1.0753988858026999</v>
      </c>
      <c r="K72" s="3">
        <f t="shared" si="7"/>
        <v>4.7040361667998107</v>
      </c>
      <c r="L72" s="3">
        <f t="shared" si="10"/>
        <v>-2.8578077028216242E-3</v>
      </c>
      <c r="M72" s="3">
        <f t="shared" si="8"/>
        <v>4.2327120209018698</v>
      </c>
      <c r="N72" s="3">
        <f t="shared" si="11"/>
        <v>6.8706873238886246E-3</v>
      </c>
    </row>
    <row r="73" spans="2:14" x14ac:dyDescent="0.3">
      <c r="B73" s="3" t="s">
        <v>100</v>
      </c>
      <c r="C73" s="3">
        <v>-1.76268037435623</v>
      </c>
      <c r="D73" s="3">
        <v>110.461720637684</v>
      </c>
      <c r="E73" s="3">
        <v>69.238719068772895</v>
      </c>
      <c r="F73" s="3">
        <v>57.31</v>
      </c>
      <c r="H73" s="3">
        <f t="shared" si="6"/>
        <v>4.0484751285636458</v>
      </c>
      <c r="I73" s="3">
        <f t="shared" si="9"/>
        <v>-0.29025248796508407</v>
      </c>
      <c r="J73" s="3">
        <v>-1.76268037435623</v>
      </c>
      <c r="K73" s="3">
        <f t="shared" si="7"/>
        <v>4.7046690413722168</v>
      </c>
      <c r="L73" s="3">
        <f t="shared" si="10"/>
        <v>6.3287457240601697E-4</v>
      </c>
      <c r="M73" s="3">
        <f t="shared" si="8"/>
        <v>4.2375602302635862</v>
      </c>
      <c r="N73" s="3">
        <f t="shared" si="11"/>
        <v>4.8482093617163713E-3</v>
      </c>
    </row>
    <row r="74" spans="2:14" x14ac:dyDescent="0.3">
      <c r="B74" s="3" t="s">
        <v>101</v>
      </c>
      <c r="C74" s="3">
        <v>0.516783640520318</v>
      </c>
      <c r="D74" s="3">
        <v>109.30870555905599</v>
      </c>
      <c r="E74" s="3">
        <v>69.463704790221598</v>
      </c>
      <c r="F74" s="3">
        <v>41.12</v>
      </c>
      <c r="H74" s="3">
        <f t="shared" si="6"/>
        <v>3.7164946211469094</v>
      </c>
      <c r="I74" s="3">
        <f t="shared" si="9"/>
        <v>-0.33198050741673635</v>
      </c>
      <c r="J74" s="3">
        <v>0.516783640520318</v>
      </c>
      <c r="K74" s="3">
        <f t="shared" si="7"/>
        <v>4.6941760403095092</v>
      </c>
      <c r="L74" s="3">
        <f t="shared" si="10"/>
        <v>-1.0493001062707563E-2</v>
      </c>
      <c r="M74" s="3">
        <f t="shared" si="8"/>
        <v>4.2408043829252549</v>
      </c>
      <c r="N74" s="3">
        <f t="shared" si="11"/>
        <v>3.2441526616686645E-3</v>
      </c>
    </row>
    <row r="75" spans="2:14" x14ac:dyDescent="0.3">
      <c r="B75" s="3" t="s">
        <v>102</v>
      </c>
      <c r="C75" s="3">
        <v>1.6462799148475</v>
      </c>
      <c r="D75" s="3">
        <v>110.463039360735</v>
      </c>
      <c r="E75" s="3">
        <v>69.588520714629993</v>
      </c>
      <c r="F75" s="3">
        <v>41.71</v>
      </c>
      <c r="H75" s="3">
        <f t="shared" si="6"/>
        <v>3.7307409082088538</v>
      </c>
      <c r="I75" s="3">
        <f t="shared" si="9"/>
        <v>1.4246287061944418E-2</v>
      </c>
      <c r="J75" s="3">
        <v>1.6462799148475</v>
      </c>
      <c r="K75" s="3">
        <f t="shared" si="7"/>
        <v>4.7046809795818687</v>
      </c>
      <c r="L75" s="3">
        <f t="shared" si="10"/>
        <v>1.0504939272359515E-2</v>
      </c>
      <c r="M75" s="3">
        <f t="shared" si="8"/>
        <v>4.2425996214764892</v>
      </c>
      <c r="N75" s="3">
        <f t="shared" si="11"/>
        <v>1.7952385512343128E-3</v>
      </c>
    </row>
    <row r="76" spans="2:14" x14ac:dyDescent="0.3">
      <c r="B76" s="3" t="s">
        <v>103</v>
      </c>
      <c r="C76" s="3">
        <v>1.86962275451874</v>
      </c>
      <c r="D76" s="3">
        <v>109.803682627881</v>
      </c>
      <c r="E76" s="3">
        <v>69.486970701641198</v>
      </c>
      <c r="F76" s="3">
        <v>39.090000000000003</v>
      </c>
      <c r="H76" s="3">
        <f t="shared" si="6"/>
        <v>3.6658666798048634</v>
      </c>
      <c r="I76" s="3">
        <f t="shared" si="9"/>
        <v>-6.4874228403990486E-2</v>
      </c>
      <c r="J76" s="3">
        <v>1.86962275451874</v>
      </c>
      <c r="K76" s="3">
        <f t="shared" si="7"/>
        <v>4.6986940679290345</v>
      </c>
      <c r="L76" s="3">
        <f t="shared" si="10"/>
        <v>-5.9869116528341593E-3</v>
      </c>
      <c r="M76" s="3">
        <f t="shared" si="8"/>
        <v>4.2411392630768576</v>
      </c>
      <c r="N76" s="3">
        <f t="shared" si="11"/>
        <v>-1.460358399631545E-3</v>
      </c>
    </row>
    <row r="77" spans="2:14" x14ac:dyDescent="0.3">
      <c r="B77" s="3" t="s">
        <v>104</v>
      </c>
      <c r="C77" s="3">
        <v>-2.6559523505525302</v>
      </c>
      <c r="D77" s="3">
        <v>108.536572804236</v>
      </c>
      <c r="E77" s="3">
        <v>69.426018634252799</v>
      </c>
      <c r="F77" s="3">
        <v>47.94</v>
      </c>
      <c r="H77" s="3">
        <f t="shared" si="6"/>
        <v>3.8699502290062382</v>
      </c>
      <c r="I77" s="3">
        <f t="shared" si="9"/>
        <v>0.20408354920137484</v>
      </c>
      <c r="J77" s="3">
        <v>-2.6559523505525302</v>
      </c>
      <c r="K77" s="3">
        <f t="shared" si="7"/>
        <v>4.6870871927197184</v>
      </c>
      <c r="L77" s="3">
        <f t="shared" si="10"/>
        <v>-1.1606875209316136E-2</v>
      </c>
      <c r="M77" s="3">
        <f t="shared" si="8"/>
        <v>4.2402617055267475</v>
      </c>
      <c r="N77" s="3">
        <f t="shared" si="11"/>
        <v>-8.775575501100974E-4</v>
      </c>
    </row>
    <row r="78" spans="2:14" x14ac:dyDescent="0.3">
      <c r="B78" s="3" t="s">
        <v>105</v>
      </c>
      <c r="C78" s="3">
        <v>-1.3292903580085</v>
      </c>
      <c r="D78" s="3">
        <v>109.43622150624699</v>
      </c>
      <c r="E78" s="3">
        <v>69.447995728884194</v>
      </c>
      <c r="F78" s="3">
        <v>49.65</v>
      </c>
      <c r="H78" s="3">
        <f t="shared" si="6"/>
        <v>3.9049983904911816</v>
      </c>
      <c r="I78" s="3">
        <f t="shared" si="9"/>
        <v>3.5048161484943385E-2</v>
      </c>
      <c r="J78" s="3">
        <v>-1.3292903580085</v>
      </c>
      <c r="K78" s="3">
        <f t="shared" si="7"/>
        <v>4.6953419275677515</v>
      </c>
      <c r="L78" s="3">
        <f t="shared" si="10"/>
        <v>8.254734848033074E-3</v>
      </c>
      <c r="M78" s="3">
        <f t="shared" si="8"/>
        <v>4.2405782095885858</v>
      </c>
      <c r="N78" s="3">
        <f t="shared" si="11"/>
        <v>3.1650406183825197E-4</v>
      </c>
    </row>
    <row r="79" spans="2:14" x14ac:dyDescent="0.3">
      <c r="B79" s="3" t="s">
        <v>106</v>
      </c>
      <c r="C79" s="3">
        <v>-1.08405701770105</v>
      </c>
      <c r="D79" s="3">
        <v>110.807453032119</v>
      </c>
      <c r="E79" s="3">
        <v>69.494860781993793</v>
      </c>
      <c r="F79" s="3">
        <v>59.03</v>
      </c>
      <c r="H79" s="3">
        <f t="shared" si="6"/>
        <v>4.0780457892525979</v>
      </c>
      <c r="I79" s="3">
        <f t="shared" si="9"/>
        <v>0.17304739876141628</v>
      </c>
      <c r="J79" s="3">
        <v>-1.08405701770105</v>
      </c>
      <c r="K79" s="3">
        <f t="shared" si="7"/>
        <v>4.7077940376837955</v>
      </c>
      <c r="L79" s="3">
        <f t="shared" si="10"/>
        <v>1.2452110116043968E-2</v>
      </c>
      <c r="M79" s="3">
        <f t="shared" si="8"/>
        <v>4.241252804253814</v>
      </c>
      <c r="N79" s="3">
        <f t="shared" si="11"/>
        <v>6.7459466522823419E-4</v>
      </c>
    </row>
    <row r="80" spans="2:14" x14ac:dyDescent="0.3">
      <c r="B80" s="3" t="s">
        <v>107</v>
      </c>
      <c r="C80" s="3">
        <v>1.28503727402968</v>
      </c>
      <c r="D80" s="3">
        <v>107.013304632797</v>
      </c>
      <c r="E80" s="3">
        <v>69.337416908565302</v>
      </c>
      <c r="F80" s="3">
        <v>69.64</v>
      </c>
      <c r="H80" s="3">
        <f t="shared" si="6"/>
        <v>4.2433391148999879</v>
      </c>
      <c r="I80" s="3">
        <f t="shared" si="9"/>
        <v>0.16529332564739008</v>
      </c>
      <c r="J80" s="3">
        <v>1.28503727402968</v>
      </c>
      <c r="K80" s="3">
        <f t="shared" si="7"/>
        <v>4.6729531690946242</v>
      </c>
      <c r="L80" s="3">
        <f t="shared" si="10"/>
        <v>-3.4840868589171237E-2</v>
      </c>
      <c r="M80" s="3">
        <f t="shared" si="8"/>
        <v>4.2389846870184975</v>
      </c>
      <c r="N80" s="3">
        <f t="shared" si="11"/>
        <v>-2.2681172353165024E-3</v>
      </c>
    </row>
    <row r="81" spans="2:14" x14ac:dyDescent="0.3">
      <c r="B81" s="3" t="s">
        <v>108</v>
      </c>
      <c r="C81" s="3">
        <v>0.91226869878747396</v>
      </c>
      <c r="D81" s="3">
        <v>108.59188418082699</v>
      </c>
      <c r="E81" s="3">
        <v>69.420123373394105</v>
      </c>
      <c r="F81" s="3">
        <v>64.150000000000006</v>
      </c>
      <c r="H81" s="3">
        <f t="shared" si="6"/>
        <v>4.1612240910616451</v>
      </c>
      <c r="I81" s="3">
        <f t="shared" si="9"/>
        <v>-8.2115023838342793E-2</v>
      </c>
      <c r="J81" s="3">
        <v>0.91226869878747396</v>
      </c>
      <c r="K81" s="3">
        <f t="shared" si="7"/>
        <v>4.6875966734073771</v>
      </c>
      <c r="L81" s="3">
        <f t="shared" si="10"/>
        <v>1.4643504312752853E-2</v>
      </c>
      <c r="M81" s="3">
        <f t="shared" si="8"/>
        <v>4.2401767876345113</v>
      </c>
      <c r="N81" s="3">
        <f t="shared" si="11"/>
        <v>1.1921006160138248E-3</v>
      </c>
    </row>
    <row r="82" spans="2:14" x14ac:dyDescent="0.3">
      <c r="B82" s="3" t="s">
        <v>109</v>
      </c>
      <c r="C82" s="3">
        <v>-0.86157585423917205</v>
      </c>
      <c r="D82" s="3">
        <v>110.575983864332</v>
      </c>
      <c r="E82" s="3">
        <v>69.291212185749302</v>
      </c>
      <c r="F82" s="3">
        <v>71.05</v>
      </c>
      <c r="H82" s="3">
        <f t="shared" si="6"/>
        <v>4.2633838545431093</v>
      </c>
      <c r="I82" s="3">
        <f t="shared" si="9"/>
        <v>0.10215976348146416</v>
      </c>
      <c r="J82" s="3">
        <v>-0.86157585423917205</v>
      </c>
      <c r="K82" s="3">
        <f t="shared" si="7"/>
        <v>4.7057029214252468</v>
      </c>
      <c r="L82" s="3">
        <f t="shared" si="10"/>
        <v>1.8106248017869753E-2</v>
      </c>
      <c r="M82" s="3">
        <f t="shared" si="8"/>
        <v>4.2383180898685611</v>
      </c>
      <c r="N82" s="3">
        <f t="shared" si="11"/>
        <v>-1.8586977659502679E-3</v>
      </c>
    </row>
    <row r="83" spans="2:14" x14ac:dyDescent="0.3">
      <c r="B83" s="3" t="s">
        <v>110</v>
      </c>
      <c r="C83" s="3">
        <v>-0.55202450511266099</v>
      </c>
      <c r="D83" s="3">
        <v>110.87835456001299</v>
      </c>
      <c r="E83" s="3">
        <v>69.253956910169606</v>
      </c>
      <c r="F83" s="3">
        <v>69.41</v>
      </c>
      <c r="H83" s="3">
        <f t="shared" si="6"/>
        <v>4.2400309493514925</v>
      </c>
      <c r="I83" s="3">
        <f t="shared" si="9"/>
        <v>-2.3352905191616813E-2</v>
      </c>
      <c r="J83" s="3">
        <v>-0.55202450511266099</v>
      </c>
      <c r="K83" s="3">
        <f t="shared" si="7"/>
        <v>4.708433695504759</v>
      </c>
      <c r="L83" s="3">
        <f t="shared" si="10"/>
        <v>2.730774079512166E-3</v>
      </c>
      <c r="M83" s="3">
        <f t="shared" si="8"/>
        <v>4.237780282932083</v>
      </c>
      <c r="N83" s="3">
        <f t="shared" si="11"/>
        <v>-5.378069364780913E-4</v>
      </c>
    </row>
    <row r="84" spans="2:14" x14ac:dyDescent="0.3">
      <c r="B84" s="3" t="s">
        <v>111</v>
      </c>
      <c r="C84" s="3">
        <v>-0.32072994476658201</v>
      </c>
      <c r="D84" s="3">
        <v>112.022425478777</v>
      </c>
      <c r="E84" s="3">
        <v>69.397730173893805</v>
      </c>
      <c r="F84" s="3">
        <v>75.72</v>
      </c>
      <c r="H84" s="3">
        <f t="shared" si="6"/>
        <v>4.3270423263411217</v>
      </c>
      <c r="I84" s="3">
        <f t="shared" si="9"/>
        <v>8.7011376989629241E-2</v>
      </c>
      <c r="J84" s="3">
        <v>-0.32072994476658201</v>
      </c>
      <c r="K84" s="3">
        <f t="shared" si="7"/>
        <v>4.7186990787413263</v>
      </c>
      <c r="L84" s="3">
        <f t="shared" si="10"/>
        <v>1.0265383236567338E-2</v>
      </c>
      <c r="M84" s="3">
        <f t="shared" si="8"/>
        <v>4.2398541605498492</v>
      </c>
      <c r="N84" s="3">
        <f t="shared" si="11"/>
        <v>2.0738776177662288E-3</v>
      </c>
    </row>
    <row r="85" spans="2:14" x14ac:dyDescent="0.3">
      <c r="B85" s="3" t="s">
        <v>112</v>
      </c>
      <c r="C85" s="3">
        <v>1.2292250859642</v>
      </c>
      <c r="D85" s="3">
        <v>113.082618871029</v>
      </c>
      <c r="E85" s="3">
        <v>69.441190172736</v>
      </c>
      <c r="F85" s="3">
        <v>77.989999999999995</v>
      </c>
      <c r="H85" s="3">
        <f t="shared" si="6"/>
        <v>4.3565806133424063</v>
      </c>
      <c r="I85" s="3">
        <f t="shared" si="9"/>
        <v>2.953828700128458E-2</v>
      </c>
      <c r="J85" s="3">
        <v>1.2292250859642</v>
      </c>
      <c r="K85" s="3">
        <f t="shared" si="7"/>
        <v>4.7281186920109546</v>
      </c>
      <c r="L85" s="3">
        <f t="shared" si="10"/>
        <v>9.4196132696282575E-3</v>
      </c>
      <c r="M85" s="3">
        <f t="shared" si="8"/>
        <v>4.2404802097895455</v>
      </c>
      <c r="N85" s="3">
        <f t="shared" si="11"/>
        <v>6.2604923969633575E-4</v>
      </c>
    </row>
    <row r="86" spans="2:14" x14ac:dyDescent="0.3">
      <c r="B86" s="3" t="s">
        <v>113</v>
      </c>
      <c r="C86" s="3">
        <v>-0.46989902102445102</v>
      </c>
      <c r="D86" s="3">
        <v>113.70203889176</v>
      </c>
      <c r="E86" s="3">
        <v>69.635199223970901</v>
      </c>
      <c r="F86" s="3">
        <v>74.47</v>
      </c>
      <c r="H86" s="3">
        <f t="shared" si="6"/>
        <v>4.3103963597225539</v>
      </c>
      <c r="I86" s="3">
        <f t="shared" si="9"/>
        <v>-4.6184253619852456E-2</v>
      </c>
      <c r="J86" s="3">
        <v>-0.46989902102445102</v>
      </c>
      <c r="K86" s="3">
        <f t="shared" si="7"/>
        <v>4.7335813328011636</v>
      </c>
      <c r="L86" s="3">
        <f t="shared" si="10"/>
        <v>5.4626407902089724E-3</v>
      </c>
      <c r="M86" s="3">
        <f t="shared" si="8"/>
        <v>4.2432701754756295</v>
      </c>
      <c r="N86" s="3">
        <f t="shared" si="11"/>
        <v>2.7899656860839173E-3</v>
      </c>
    </row>
    <row r="87" spans="2:14" x14ac:dyDescent="0.3">
      <c r="B87" s="3" t="s">
        <v>114</v>
      </c>
      <c r="C87" s="3">
        <v>-0.68937329756967203</v>
      </c>
      <c r="D87" s="3">
        <v>114.39982764429899</v>
      </c>
      <c r="E87" s="3">
        <v>69.892767509553707</v>
      </c>
      <c r="F87" s="3">
        <v>78.33</v>
      </c>
      <c r="H87" s="3">
        <f t="shared" si="6"/>
        <v>4.3609306713791476</v>
      </c>
      <c r="I87" s="3">
        <f t="shared" si="9"/>
        <v>5.0534311656593722E-2</v>
      </c>
      <c r="J87" s="3">
        <v>-0.68937329756967203</v>
      </c>
      <c r="K87" s="3">
        <f t="shared" si="7"/>
        <v>4.7396995723387843</v>
      </c>
      <c r="L87" s="3">
        <f t="shared" si="10"/>
        <v>6.1182395376206955E-3</v>
      </c>
      <c r="M87" s="3">
        <f t="shared" si="8"/>
        <v>4.2469621747813706</v>
      </c>
      <c r="N87" s="3">
        <f t="shared" si="11"/>
        <v>3.691999305741156E-3</v>
      </c>
    </row>
    <row r="88" spans="2:14" x14ac:dyDescent="0.3">
      <c r="B88" s="3" t="s">
        <v>115</v>
      </c>
      <c r="C88" s="3">
        <v>-0.91148592034009901</v>
      </c>
      <c r="D88" s="3">
        <v>115.589852207709</v>
      </c>
      <c r="E88" s="3">
        <v>70.072949070060204</v>
      </c>
      <c r="F88" s="3">
        <v>76.39</v>
      </c>
      <c r="H88" s="3">
        <f t="shared" si="6"/>
        <v>4.3358517975532687</v>
      </c>
      <c r="I88" s="3">
        <f t="shared" si="9"/>
        <v>-2.5078873825878922E-2</v>
      </c>
      <c r="J88" s="3">
        <v>-0.91148592034009901</v>
      </c>
      <c r="K88" s="3">
        <f t="shared" si="7"/>
        <v>4.750048168714728</v>
      </c>
      <c r="L88" s="3">
        <f t="shared" si="10"/>
        <v>1.0348596375943764E-2</v>
      </c>
      <c r="M88" s="3">
        <f t="shared" si="8"/>
        <v>4.2495368289815927</v>
      </c>
      <c r="N88" s="3">
        <f t="shared" si="11"/>
        <v>2.5746542002220707E-3</v>
      </c>
    </row>
    <row r="89" spans="2:14" x14ac:dyDescent="0.3">
      <c r="B89" s="3" t="s">
        <v>116</v>
      </c>
      <c r="C89" s="3">
        <v>-0.34970317738805301</v>
      </c>
      <c r="D89" s="3">
        <v>117.028709400685</v>
      </c>
      <c r="E89" s="3">
        <v>69.952156970207298</v>
      </c>
      <c r="F89" s="3">
        <v>81.2</v>
      </c>
      <c r="H89" s="3">
        <f t="shared" si="6"/>
        <v>4.396915247167632</v>
      </c>
      <c r="I89" s="3">
        <f t="shared" si="9"/>
        <v>6.1063449614363385E-2</v>
      </c>
      <c r="J89" s="3">
        <v>-0.34970317738805301</v>
      </c>
      <c r="K89" s="3">
        <f t="shared" si="7"/>
        <v>4.7624192841901669</v>
      </c>
      <c r="L89" s="3">
        <f t="shared" si="10"/>
        <v>1.2371115475438899E-2</v>
      </c>
      <c r="M89" s="3">
        <f t="shared" si="8"/>
        <v>4.2478115365218105</v>
      </c>
      <c r="N89" s="3">
        <f t="shared" si="11"/>
        <v>-1.7252924597821462E-3</v>
      </c>
    </row>
    <row r="90" spans="2:14" x14ac:dyDescent="0.3">
      <c r="B90" s="3" t="s">
        <v>117</v>
      </c>
      <c r="C90" s="3">
        <v>0.40660689903408198</v>
      </c>
      <c r="D90" s="3">
        <v>118.193789667603</v>
      </c>
      <c r="E90" s="3">
        <v>69.978015161832403</v>
      </c>
      <c r="F90" s="3">
        <v>84.29</v>
      </c>
      <c r="H90" s="3">
        <f t="shared" si="6"/>
        <v>4.434263234009391</v>
      </c>
      <c r="I90" s="3">
        <f t="shared" si="9"/>
        <v>3.7347986841758996E-2</v>
      </c>
      <c r="J90" s="3">
        <v>0.40660689903408198</v>
      </c>
      <c r="K90" s="3">
        <f t="shared" si="7"/>
        <v>4.7723255627084535</v>
      </c>
      <c r="L90" s="3">
        <f t="shared" si="10"/>
        <v>9.9062785182866264E-3</v>
      </c>
      <c r="M90" s="3">
        <f t="shared" si="8"/>
        <v>4.2481811236026452</v>
      </c>
      <c r="N90" s="3">
        <f t="shared" si="11"/>
        <v>3.6958708083467684E-4</v>
      </c>
    </row>
    <row r="91" spans="2:14" x14ac:dyDescent="0.3">
      <c r="B91" s="3" t="s">
        <v>118</v>
      </c>
      <c r="C91" s="3">
        <v>-1.4714090495075201</v>
      </c>
      <c r="D91" s="3">
        <v>119.14704302985901</v>
      </c>
      <c r="E91" s="3">
        <v>70.222348166046302</v>
      </c>
      <c r="F91" s="3">
        <v>73.739999999999995</v>
      </c>
      <c r="H91" s="3">
        <f t="shared" si="6"/>
        <v>4.300545392805998</v>
      </c>
      <c r="I91" s="3">
        <f t="shared" si="9"/>
        <v>-0.13371784120339303</v>
      </c>
      <c r="J91" s="3">
        <v>-1.4714090495075201</v>
      </c>
      <c r="K91" s="3">
        <f t="shared" si="7"/>
        <v>4.7803583860304126</v>
      </c>
      <c r="L91" s="3">
        <f t="shared" si="10"/>
        <v>8.0328233219590928E-3</v>
      </c>
      <c r="M91" s="3">
        <f t="shared" si="8"/>
        <v>4.2516666103128538</v>
      </c>
      <c r="N91" s="3">
        <f t="shared" si="11"/>
        <v>3.4854867102085407E-3</v>
      </c>
    </row>
    <row r="92" spans="2:14" x14ac:dyDescent="0.3">
      <c r="B92" s="3" t="s">
        <v>119</v>
      </c>
      <c r="C92" s="3">
        <v>-1.07860586369311</v>
      </c>
      <c r="D92" s="3">
        <v>121.02932226927901</v>
      </c>
      <c r="E92" s="3">
        <v>70.480201152504705</v>
      </c>
      <c r="F92" s="3">
        <v>75.34</v>
      </c>
      <c r="H92" s="3">
        <f t="shared" si="6"/>
        <v>4.3220112022638952</v>
      </c>
      <c r="I92" s="3">
        <f t="shared" si="9"/>
        <v>2.1465809457897223E-2</v>
      </c>
      <c r="J92" s="3">
        <v>-1.07860586369311</v>
      </c>
      <c r="K92" s="3">
        <f t="shared" si="7"/>
        <v>4.7960328490428488</v>
      </c>
      <c r="L92" s="3">
        <f t="shared" si="10"/>
        <v>1.5674463012436135E-2</v>
      </c>
      <c r="M92" s="3">
        <f t="shared" si="8"/>
        <v>4.2553318356605239</v>
      </c>
      <c r="N92" s="3">
        <f t="shared" si="11"/>
        <v>3.6652253476701091E-3</v>
      </c>
    </row>
    <row r="93" spans="2:14" x14ac:dyDescent="0.3">
      <c r="B93" s="3" t="s">
        <v>120</v>
      </c>
      <c r="C93" s="3">
        <v>0.53381905588582101</v>
      </c>
      <c r="D93" s="3">
        <v>119.780840139849</v>
      </c>
      <c r="E93" s="3">
        <v>70.681647590576205</v>
      </c>
      <c r="F93" s="3">
        <v>76.319999999999993</v>
      </c>
      <c r="H93" s="3">
        <f t="shared" si="6"/>
        <v>4.3349350271400313</v>
      </c>
      <c r="I93" s="3">
        <f t="shared" si="9"/>
        <v>1.2923824876136081E-2</v>
      </c>
      <c r="J93" s="3">
        <v>0.53381905588582101</v>
      </c>
      <c r="K93" s="3">
        <f t="shared" si="7"/>
        <v>4.7856637408361715</v>
      </c>
      <c r="L93" s="3">
        <f t="shared" si="10"/>
        <v>-1.0369108206677247E-2</v>
      </c>
      <c r="M93" s="3">
        <f t="shared" si="8"/>
        <v>4.2581859577425734</v>
      </c>
      <c r="N93" s="3">
        <f t="shared" si="11"/>
        <v>2.8541220820494928E-3</v>
      </c>
    </row>
    <row r="94" spans="2:14" x14ac:dyDescent="0.3">
      <c r="B94" s="3" t="s">
        <v>121</v>
      </c>
      <c r="C94" s="3">
        <v>-0.16776401887950401</v>
      </c>
      <c r="D94" s="3">
        <v>120.121507079144</v>
      </c>
      <c r="E94" s="3">
        <v>70.879938299269</v>
      </c>
      <c r="F94" s="3">
        <v>76.599999999999994</v>
      </c>
      <c r="H94" s="3">
        <f t="shared" si="6"/>
        <v>4.3385970767465452</v>
      </c>
      <c r="I94" s="3">
        <f t="shared" si="9"/>
        <v>3.6620496065138397E-3</v>
      </c>
      <c r="J94" s="3">
        <v>-0.16776401887950401</v>
      </c>
      <c r="K94" s="3">
        <f t="shared" si="7"/>
        <v>4.7885037894828439</v>
      </c>
      <c r="L94" s="3">
        <f t="shared" si="10"/>
        <v>2.8400486466724217E-3</v>
      </c>
      <c r="M94" s="3">
        <f t="shared" si="8"/>
        <v>4.2609874358008062</v>
      </c>
      <c r="N94" s="3">
        <f t="shared" si="11"/>
        <v>2.8014780582328314E-3</v>
      </c>
    </row>
    <row r="95" spans="2:14" x14ac:dyDescent="0.3">
      <c r="B95" s="3" t="s">
        <v>122</v>
      </c>
      <c r="C95" s="3">
        <v>0.826785431907616</v>
      </c>
      <c r="D95" s="3">
        <v>121.856701843058</v>
      </c>
      <c r="E95" s="3">
        <v>70.885838711637106</v>
      </c>
      <c r="F95" s="3">
        <v>75.239999999999995</v>
      </c>
      <c r="H95" s="3">
        <f t="shared" si="6"/>
        <v>4.3206830044328299</v>
      </c>
      <c r="I95" s="3">
        <f t="shared" si="9"/>
        <v>-1.7914072313715224E-2</v>
      </c>
      <c r="J95" s="3">
        <v>0.826785431907616</v>
      </c>
      <c r="K95" s="3">
        <f t="shared" si="7"/>
        <v>4.8028457793224382</v>
      </c>
      <c r="L95" s="3">
        <f t="shared" si="10"/>
        <v>1.4341989839594227E-2</v>
      </c>
      <c r="M95" s="3">
        <f t="shared" si="8"/>
        <v>4.2610706775040708</v>
      </c>
      <c r="N95" s="3">
        <f t="shared" si="11"/>
        <v>8.3241703264569367E-5</v>
      </c>
    </row>
    <row r="96" spans="2:14" x14ac:dyDescent="0.3">
      <c r="B96" s="3" t="s">
        <v>123</v>
      </c>
      <c r="C96" s="3">
        <v>2.5476937715216201</v>
      </c>
      <c r="D96" s="3">
        <v>122.723514729793</v>
      </c>
      <c r="E96" s="3">
        <v>70.853004077919806</v>
      </c>
      <c r="F96" s="3">
        <v>81.89</v>
      </c>
      <c r="H96" s="3">
        <f t="shared" si="6"/>
        <v>4.4053768832820968</v>
      </c>
      <c r="I96" s="3">
        <f t="shared" si="9"/>
        <v>8.4693878849266824E-2</v>
      </c>
      <c r="J96" s="3">
        <v>2.5476937715216201</v>
      </c>
      <c r="K96" s="3">
        <f t="shared" si="7"/>
        <v>4.8099339774450751</v>
      </c>
      <c r="L96" s="3">
        <f t="shared" si="10"/>
        <v>7.0881981226369462E-3</v>
      </c>
      <c r="M96" s="3">
        <f t="shared" si="8"/>
        <v>4.2606073657730246</v>
      </c>
      <c r="N96" s="3">
        <f t="shared" si="11"/>
        <v>-4.6331173104618983E-4</v>
      </c>
    </row>
    <row r="97" spans="2:14" x14ac:dyDescent="0.3">
      <c r="B97" s="3" t="s">
        <v>124</v>
      </c>
      <c r="C97" s="3">
        <v>0.69865683611639695</v>
      </c>
      <c r="D97" s="3">
        <v>122.933216135346</v>
      </c>
      <c r="E97" s="3">
        <v>70.981819308949397</v>
      </c>
      <c r="F97" s="3">
        <v>84.25</v>
      </c>
      <c r="H97" s="3">
        <f t="shared" si="6"/>
        <v>4.4337885692324708</v>
      </c>
      <c r="I97" s="3">
        <f t="shared" si="9"/>
        <v>2.8411685950374022E-2</v>
      </c>
      <c r="J97" s="3">
        <v>0.69865683611639695</v>
      </c>
      <c r="K97" s="3">
        <f t="shared" si="7"/>
        <v>4.811641249667991</v>
      </c>
      <c r="L97" s="3">
        <f t="shared" si="10"/>
        <v>1.7072722229158899E-3</v>
      </c>
      <c r="M97" s="3">
        <f t="shared" si="8"/>
        <v>4.2624237781796657</v>
      </c>
      <c r="N97" s="3">
        <f t="shared" si="11"/>
        <v>1.8164124066410992E-3</v>
      </c>
    </row>
    <row r="98" spans="2:14" x14ac:dyDescent="0.3">
      <c r="B98" s="3" t="s">
        <v>125</v>
      </c>
      <c r="C98" s="3">
        <v>0.19645196386498701</v>
      </c>
      <c r="D98" s="3">
        <v>121.666213221587</v>
      </c>
      <c r="E98" s="3">
        <v>71.081342577352899</v>
      </c>
      <c r="F98" s="3">
        <v>89.15</v>
      </c>
      <c r="H98" s="3">
        <f t="shared" si="6"/>
        <v>4.4903203443091497</v>
      </c>
      <c r="I98" s="3">
        <f t="shared" si="9"/>
        <v>5.6531775076678947E-2</v>
      </c>
      <c r="J98" s="3">
        <v>0.19645196386498701</v>
      </c>
      <c r="K98" s="3">
        <f t="shared" si="7"/>
        <v>4.8012813379615764</v>
      </c>
      <c r="L98" s="3">
        <f t="shared" si="10"/>
        <v>-1.0359911706414593E-2</v>
      </c>
      <c r="M98" s="3">
        <f t="shared" si="8"/>
        <v>4.263824891365708</v>
      </c>
      <c r="N98" s="3">
        <f t="shared" si="11"/>
        <v>1.4011131860423021E-3</v>
      </c>
    </row>
    <row r="99" spans="2:14" x14ac:dyDescent="0.3">
      <c r="B99" s="3" t="s">
        <v>126</v>
      </c>
      <c r="C99" s="3">
        <v>-0.102557839157062</v>
      </c>
      <c r="D99" s="3">
        <v>124.889865475623</v>
      </c>
      <c r="E99" s="3">
        <v>71.414048496973095</v>
      </c>
      <c r="F99" s="3">
        <v>89.17</v>
      </c>
      <c r="H99" s="3">
        <f t="shared" si="6"/>
        <v>4.4905446601467878</v>
      </c>
      <c r="I99" s="3">
        <f t="shared" si="9"/>
        <v>2.2431583763804497E-4</v>
      </c>
      <c r="J99" s="3">
        <v>-0.102557839157062</v>
      </c>
      <c r="K99" s="3">
        <f t="shared" si="7"/>
        <v>4.827432272731512</v>
      </c>
      <c r="L99" s="3">
        <f t="shared" si="10"/>
        <v>2.6150934769935574E-2</v>
      </c>
      <c r="M99" s="3">
        <f t="shared" si="8"/>
        <v>4.2684946076519763</v>
      </c>
      <c r="N99" s="3">
        <f t="shared" si="11"/>
        <v>4.6697162862683328E-3</v>
      </c>
    </row>
    <row r="100" spans="2:14" x14ac:dyDescent="0.3">
      <c r="B100" s="3" t="s">
        <v>127</v>
      </c>
      <c r="C100" s="3">
        <v>0.18255573374942199</v>
      </c>
      <c r="D100" s="3">
        <v>124.835906105516</v>
      </c>
      <c r="E100" s="3">
        <v>71.646270054129602</v>
      </c>
      <c r="F100" s="3">
        <v>88.58</v>
      </c>
      <c r="H100" s="3">
        <f t="shared" si="6"/>
        <v>4.4839060984950523</v>
      </c>
      <c r="I100" s="3">
        <f t="shared" si="9"/>
        <v>-6.6385616517354862E-3</v>
      </c>
      <c r="J100" s="3">
        <v>0.18255573374942199</v>
      </c>
      <c r="K100" s="3">
        <f t="shared" si="7"/>
        <v>4.8270001237337921</v>
      </c>
      <c r="L100" s="3">
        <f t="shared" si="10"/>
        <v>-4.3214899771992776E-4</v>
      </c>
      <c r="M100" s="3">
        <f t="shared" si="8"/>
        <v>4.2717410950563126</v>
      </c>
      <c r="N100" s="3">
        <f t="shared" si="11"/>
        <v>3.2464874043363068E-3</v>
      </c>
    </row>
    <row r="101" spans="2:14" x14ac:dyDescent="0.3">
      <c r="B101" s="3" t="s">
        <v>128</v>
      </c>
      <c r="C101" s="3">
        <v>0.54149045528310602</v>
      </c>
      <c r="D101" s="3">
        <v>125.825192282804</v>
      </c>
      <c r="E101" s="3">
        <v>71.816746829473601</v>
      </c>
      <c r="F101" s="3">
        <v>102.86</v>
      </c>
      <c r="H101" s="3">
        <f t="shared" si="6"/>
        <v>4.6333688403467699</v>
      </c>
      <c r="I101" s="3">
        <f t="shared" si="9"/>
        <v>0.1494627418517176</v>
      </c>
      <c r="J101" s="3">
        <v>0.54149045528310602</v>
      </c>
      <c r="K101" s="3">
        <f t="shared" si="7"/>
        <v>4.8348935808377229</v>
      </c>
      <c r="L101" s="3">
        <f t="shared" si="10"/>
        <v>7.8934571039308565E-3</v>
      </c>
      <c r="M101" s="3">
        <f t="shared" si="8"/>
        <v>4.2741176916076462</v>
      </c>
      <c r="N101" s="3">
        <f t="shared" si="11"/>
        <v>2.3765965513335985E-3</v>
      </c>
    </row>
    <row r="102" spans="2:14" x14ac:dyDescent="0.3">
      <c r="B102" s="3" t="s">
        <v>129</v>
      </c>
      <c r="C102" s="3">
        <v>2.1325638468477801</v>
      </c>
      <c r="D102" s="3">
        <v>127.349032143884</v>
      </c>
      <c r="E102" s="3">
        <v>72.312914623759696</v>
      </c>
      <c r="F102" s="3">
        <v>109.53</v>
      </c>
      <c r="H102" s="3">
        <f t="shared" si="6"/>
        <v>4.696198484335655</v>
      </c>
      <c r="I102" s="3">
        <f t="shared" si="9"/>
        <v>6.2829643988885131E-2</v>
      </c>
      <c r="J102" s="3">
        <v>2.1325638468477801</v>
      </c>
      <c r="K102" s="3">
        <f t="shared" si="7"/>
        <v>4.8469316014270847</v>
      </c>
      <c r="L102" s="3">
        <f t="shared" si="10"/>
        <v>1.2038020589361764E-2</v>
      </c>
      <c r="M102" s="3">
        <f t="shared" si="8"/>
        <v>4.2810027387146006</v>
      </c>
      <c r="N102" s="3">
        <f t="shared" si="11"/>
        <v>6.8850471069543673E-3</v>
      </c>
    </row>
    <row r="103" spans="2:14" x14ac:dyDescent="0.3">
      <c r="B103" s="3" t="s">
        <v>130</v>
      </c>
      <c r="C103" s="3">
        <v>-1.0310357739092399</v>
      </c>
      <c r="D103" s="3">
        <v>125.752445803992</v>
      </c>
      <c r="E103" s="3">
        <v>72.377549148320796</v>
      </c>
      <c r="F103" s="3">
        <v>100.9</v>
      </c>
      <c r="H103" s="3">
        <f t="shared" si="6"/>
        <v>4.6141299273595635</v>
      </c>
      <c r="I103" s="3">
        <f t="shared" si="9"/>
        <v>-8.20685569760915E-2</v>
      </c>
      <c r="J103" s="3">
        <v>-1.0310357739092399</v>
      </c>
      <c r="K103" s="3">
        <f t="shared" si="7"/>
        <v>4.8343152585242395</v>
      </c>
      <c r="L103" s="3">
        <f t="shared" si="10"/>
        <v>-1.261634290284519E-2</v>
      </c>
      <c r="M103" s="3">
        <f t="shared" si="8"/>
        <v>4.2818961566659341</v>
      </c>
      <c r="N103" s="3">
        <f t="shared" si="11"/>
        <v>8.9341795133357493E-4</v>
      </c>
    </row>
    <row r="104" spans="2:14" x14ac:dyDescent="0.3">
      <c r="B104" s="3" t="s">
        <v>131</v>
      </c>
      <c r="C104" s="3">
        <v>-4.71097961197776E-2</v>
      </c>
      <c r="D104" s="3">
        <v>125.03839239636901</v>
      </c>
      <c r="E104" s="3">
        <v>72.536134497355604</v>
      </c>
      <c r="F104" s="3">
        <v>96.26</v>
      </c>
      <c r="H104" s="3">
        <f t="shared" si="6"/>
        <v>4.567052863874963</v>
      </c>
      <c r="I104" s="3">
        <f t="shared" si="9"/>
        <v>-4.7077063484600501E-2</v>
      </c>
      <c r="J104" s="3">
        <v>-4.71097961197776E-2</v>
      </c>
      <c r="K104" s="3">
        <f t="shared" si="7"/>
        <v>4.8286208293156738</v>
      </c>
      <c r="L104" s="3">
        <f t="shared" si="10"/>
        <v>-5.6944292085656656E-3</v>
      </c>
      <c r="M104" s="3">
        <f t="shared" si="8"/>
        <v>4.2840848445572615</v>
      </c>
      <c r="N104" s="3">
        <f t="shared" si="11"/>
        <v>2.1886878913273122E-3</v>
      </c>
    </row>
    <row r="105" spans="2:14" x14ac:dyDescent="0.3">
      <c r="B105" s="3" t="s">
        <v>132</v>
      </c>
      <c r="C105" s="3">
        <v>-0.82468069825116297</v>
      </c>
      <c r="D105" s="3">
        <v>127.530516512549</v>
      </c>
      <c r="E105" s="3">
        <v>73.048330859930005</v>
      </c>
      <c r="F105" s="3">
        <v>97.3</v>
      </c>
      <c r="H105" s="3">
        <f t="shared" si="6"/>
        <v>4.577798989191959</v>
      </c>
      <c r="I105" s="3">
        <f t="shared" si="9"/>
        <v>1.0746125316996036E-2</v>
      </c>
      <c r="J105" s="3">
        <v>-0.82468069825116297</v>
      </c>
      <c r="K105" s="3">
        <f t="shared" si="7"/>
        <v>4.8483556811564519</v>
      </c>
      <c r="L105" s="3">
        <f t="shared" si="10"/>
        <v>1.9734851840778056E-2</v>
      </c>
      <c r="M105" s="3">
        <f t="shared" si="8"/>
        <v>4.2911212886533869</v>
      </c>
      <c r="N105" s="3">
        <f t="shared" si="11"/>
        <v>7.0364440961254715E-3</v>
      </c>
    </row>
    <row r="106" spans="2:14" x14ac:dyDescent="0.3">
      <c r="B106" s="3" t="s">
        <v>133</v>
      </c>
      <c r="C106" s="3">
        <v>3.0346311264413901E-2</v>
      </c>
      <c r="D106" s="3">
        <v>127.458590561908</v>
      </c>
      <c r="E106" s="3">
        <v>73.243950508704899</v>
      </c>
      <c r="F106" s="3">
        <v>86.33</v>
      </c>
      <c r="H106" s="3">
        <f t="shared" si="6"/>
        <v>4.4581771622474315</v>
      </c>
      <c r="I106" s="3">
        <f t="shared" si="9"/>
        <v>-0.1196218269445275</v>
      </c>
      <c r="J106" s="3">
        <v>3.0346311264413901E-2</v>
      </c>
      <c r="K106" s="3">
        <f t="shared" si="7"/>
        <v>4.8477915319394604</v>
      </c>
      <c r="L106" s="3">
        <f t="shared" si="10"/>
        <v>-5.6414921699143861E-4</v>
      </c>
      <c r="M106" s="3">
        <f t="shared" si="8"/>
        <v>4.2937956575748117</v>
      </c>
      <c r="N106" s="3">
        <f t="shared" si="11"/>
        <v>2.6743689214248079E-3</v>
      </c>
    </row>
    <row r="107" spans="2:14" x14ac:dyDescent="0.3">
      <c r="B107" s="3" t="s">
        <v>134</v>
      </c>
      <c r="C107" s="3">
        <v>-1.5308283054715</v>
      </c>
      <c r="D107" s="3">
        <v>127.781772305931</v>
      </c>
      <c r="E107" s="3">
        <v>73.521679439986102</v>
      </c>
      <c r="F107" s="3">
        <v>85.52</v>
      </c>
      <c r="H107" s="3">
        <f t="shared" si="6"/>
        <v>4.4487502667167895</v>
      </c>
      <c r="I107" s="3">
        <f t="shared" si="9"/>
        <v>-9.426895530642021E-3</v>
      </c>
      <c r="J107" s="3">
        <v>-1.5308283054715</v>
      </c>
      <c r="K107" s="3">
        <f t="shared" si="7"/>
        <v>4.8503239050571221</v>
      </c>
      <c r="L107" s="3">
        <f t="shared" si="10"/>
        <v>2.5323731176616349E-3</v>
      </c>
      <c r="M107" s="3">
        <f t="shared" si="8"/>
        <v>4.2975803210942818</v>
      </c>
      <c r="N107" s="3">
        <f t="shared" si="11"/>
        <v>3.784663519470044E-3</v>
      </c>
    </row>
    <row r="108" spans="2:14" x14ac:dyDescent="0.3">
      <c r="B108" s="3" t="s">
        <v>135</v>
      </c>
      <c r="C108" s="3">
        <v>-1.3760142397312101</v>
      </c>
      <c r="D108" s="3">
        <v>127.750778240082</v>
      </c>
      <c r="E108" s="3">
        <v>73.8293995175802</v>
      </c>
      <c r="F108" s="3">
        <v>86.32</v>
      </c>
      <c r="H108" s="3">
        <f t="shared" si="6"/>
        <v>4.4580613209498789</v>
      </c>
      <c r="I108" s="3">
        <f t="shared" si="9"/>
        <v>9.3110542330894219E-3</v>
      </c>
      <c r="J108" s="3">
        <v>-1.3760142397312101</v>
      </c>
      <c r="K108" s="3">
        <f t="shared" si="7"/>
        <v>4.8500813209641391</v>
      </c>
      <c r="L108" s="3">
        <f t="shared" si="10"/>
        <v>-2.4258409298294481E-4</v>
      </c>
      <c r="M108" s="3">
        <f t="shared" si="8"/>
        <v>4.3017570197260682</v>
      </c>
      <c r="N108" s="3">
        <f t="shared" si="11"/>
        <v>4.1766986317863797E-3</v>
      </c>
    </row>
    <row r="109" spans="2:14" x14ac:dyDescent="0.3">
      <c r="B109" s="3" t="s">
        <v>136</v>
      </c>
      <c r="C109" s="3">
        <v>-1.6302144989562799</v>
      </c>
      <c r="D109" s="3">
        <v>128.80007278894701</v>
      </c>
      <c r="E109" s="3">
        <v>74.275527851022005</v>
      </c>
      <c r="F109" s="3">
        <v>97.16</v>
      </c>
      <c r="H109" s="3">
        <f t="shared" si="6"/>
        <v>4.5763591041339717</v>
      </c>
      <c r="I109" s="3">
        <f t="shared" si="9"/>
        <v>0.11829778318409279</v>
      </c>
      <c r="J109" s="3">
        <v>-1.6302144989562799</v>
      </c>
      <c r="K109" s="3">
        <f t="shared" si="7"/>
        <v>4.8582613788016697</v>
      </c>
      <c r="L109" s="3">
        <f t="shared" si="10"/>
        <v>8.1800578375306188E-3</v>
      </c>
      <c r="M109" s="3">
        <f t="shared" si="8"/>
        <v>4.3077815280352603</v>
      </c>
      <c r="N109" s="3">
        <f t="shared" si="11"/>
        <v>6.0245083091921003E-3</v>
      </c>
    </row>
    <row r="110" spans="2:14" x14ac:dyDescent="0.3">
      <c r="B110" s="3" t="s">
        <v>137</v>
      </c>
      <c r="C110" s="3">
        <v>-1.24487654153758</v>
      </c>
      <c r="D110" s="3">
        <v>132.17188437384999</v>
      </c>
      <c r="E110" s="3">
        <v>74.447146149686006</v>
      </c>
      <c r="F110" s="3">
        <v>98.56</v>
      </c>
      <c r="H110" s="3">
        <f t="shared" si="6"/>
        <v>4.5906654997852101</v>
      </c>
      <c r="I110" s="3">
        <f t="shared" si="9"/>
        <v>1.4306395651238368E-2</v>
      </c>
      <c r="J110" s="3">
        <v>-1.24487654153758</v>
      </c>
      <c r="K110" s="3">
        <f t="shared" si="7"/>
        <v>4.8841032298660094</v>
      </c>
      <c r="L110" s="3">
        <f t="shared" si="10"/>
        <v>2.5841851064339671E-2</v>
      </c>
      <c r="M110" s="3">
        <f t="shared" si="8"/>
        <v>4.3100894259532163</v>
      </c>
      <c r="N110" s="3">
        <f t="shared" si="11"/>
        <v>2.3078979179560477E-3</v>
      </c>
    </row>
    <row r="111" spans="2:14" x14ac:dyDescent="0.3">
      <c r="B111" s="3" t="s">
        <v>138</v>
      </c>
      <c r="C111" s="3">
        <v>1.10348947629086</v>
      </c>
      <c r="D111" s="3">
        <v>131.243510142454</v>
      </c>
      <c r="E111" s="3">
        <v>74.432997550772001</v>
      </c>
      <c r="F111" s="3">
        <v>100.27</v>
      </c>
      <c r="H111" s="3">
        <f t="shared" si="6"/>
        <v>4.607866547535834</v>
      </c>
      <c r="I111" s="3">
        <f t="shared" si="9"/>
        <v>1.7201047750623921E-2</v>
      </c>
      <c r="J111" s="3">
        <v>1.10348947629086</v>
      </c>
      <c r="K111" s="3">
        <f t="shared" si="7"/>
        <v>4.8770544537155294</v>
      </c>
      <c r="L111" s="3">
        <f t="shared" si="10"/>
        <v>-7.0487761504800517E-3</v>
      </c>
      <c r="M111" s="3">
        <f t="shared" si="8"/>
        <v>4.3098993589824977</v>
      </c>
      <c r="N111" s="3">
        <f t="shared" si="11"/>
        <v>-1.9006697071866085E-4</v>
      </c>
    </row>
    <row r="112" spans="2:14" x14ac:dyDescent="0.3">
      <c r="B112" s="3" t="s">
        <v>139</v>
      </c>
      <c r="C112" s="3">
        <v>0.81256157176755806</v>
      </c>
      <c r="D112" s="3">
        <v>131.18409775821101</v>
      </c>
      <c r="E112" s="3">
        <v>74.638481682206006</v>
      </c>
      <c r="F112" s="3">
        <v>102.2</v>
      </c>
      <c r="H112" s="3">
        <f t="shared" si="6"/>
        <v>4.6269316777696039</v>
      </c>
      <c r="I112" s="3">
        <f t="shared" si="9"/>
        <v>1.9065130233769878E-2</v>
      </c>
      <c r="J112" s="3">
        <v>0.81256157176755806</v>
      </c>
      <c r="K112" s="3">
        <f t="shared" si="7"/>
        <v>4.876601663052738</v>
      </c>
      <c r="L112" s="3">
        <f t="shared" si="10"/>
        <v>-4.5279066279135805E-4</v>
      </c>
      <c r="M112" s="3">
        <f t="shared" si="8"/>
        <v>4.3126562144539209</v>
      </c>
      <c r="N112" s="3">
        <f t="shared" si="11"/>
        <v>2.7568554714232363E-3</v>
      </c>
    </row>
    <row r="113" spans="2:14" x14ac:dyDescent="0.3">
      <c r="B113" s="3" t="s">
        <v>140</v>
      </c>
      <c r="C113" s="3">
        <v>-1.3738680137473001</v>
      </c>
      <c r="D113" s="3">
        <v>133.49426856103901</v>
      </c>
      <c r="E113" s="3">
        <v>74.855338797115394</v>
      </c>
      <c r="F113" s="3">
        <v>106.16</v>
      </c>
      <c r="H113" s="3">
        <f t="shared" si="6"/>
        <v>4.6649473900239524</v>
      </c>
      <c r="I113" s="3">
        <f t="shared" si="9"/>
        <v>3.8015712254348522E-2</v>
      </c>
      <c r="J113" s="3">
        <v>-1.3738680137473001</v>
      </c>
      <c r="K113" s="3">
        <f t="shared" si="7"/>
        <v>4.8940585447916458</v>
      </c>
      <c r="L113" s="3">
        <f t="shared" si="10"/>
        <v>1.7456881738907803E-2</v>
      </c>
      <c r="M113" s="3">
        <f t="shared" si="8"/>
        <v>4.3155574349367836</v>
      </c>
      <c r="N113" s="3">
        <f t="shared" si="11"/>
        <v>2.9012204828626764E-3</v>
      </c>
    </row>
    <row r="114" spans="2:14" x14ac:dyDescent="0.3">
      <c r="B114" s="3" t="s">
        <v>141</v>
      </c>
      <c r="C114" s="3">
        <v>-1.1286644532788499</v>
      </c>
      <c r="D114" s="3">
        <v>131.51657880984399</v>
      </c>
      <c r="E114" s="3">
        <v>75.262294867523394</v>
      </c>
      <c r="F114" s="3">
        <v>103.32</v>
      </c>
      <c r="H114" s="3">
        <f t="shared" si="6"/>
        <v>4.6378309682276395</v>
      </c>
      <c r="I114" s="3">
        <f t="shared" si="9"/>
        <v>-2.7116421796312906E-2</v>
      </c>
      <c r="J114" s="3">
        <v>-1.1286644532788499</v>
      </c>
      <c r="K114" s="3">
        <f t="shared" si="7"/>
        <v>4.8791329182706589</v>
      </c>
      <c r="L114" s="3">
        <f t="shared" si="10"/>
        <v>-1.4925626520986945E-2</v>
      </c>
      <c r="M114" s="3">
        <f t="shared" si="8"/>
        <v>4.3209792772266242</v>
      </c>
      <c r="N114" s="3">
        <f t="shared" si="11"/>
        <v>5.4218422898406615E-3</v>
      </c>
    </row>
    <row r="115" spans="2:14" x14ac:dyDescent="0.3">
      <c r="B115" s="3" t="s">
        <v>142</v>
      </c>
      <c r="C115" s="3">
        <v>-0.85510594350917102</v>
      </c>
      <c r="D115" s="3">
        <v>134.85731720953299</v>
      </c>
      <c r="E115" s="3">
        <v>75.376716715571504</v>
      </c>
      <c r="F115" s="3">
        <v>94.66</v>
      </c>
      <c r="H115" s="3">
        <f t="shared" si="6"/>
        <v>4.5502915244781015</v>
      </c>
      <c r="I115" s="3">
        <f t="shared" si="9"/>
        <v>-8.7539443749538037E-2</v>
      </c>
      <c r="J115" s="3">
        <v>-0.85510594350917102</v>
      </c>
      <c r="K115" s="3">
        <f t="shared" si="7"/>
        <v>4.9042173099566515</v>
      </c>
      <c r="L115" s="3">
        <f t="shared" si="10"/>
        <v>2.5084391685992635E-2</v>
      </c>
      <c r="M115" s="3">
        <f t="shared" si="8"/>
        <v>4.3224984304506284</v>
      </c>
      <c r="N115" s="3">
        <f t="shared" si="11"/>
        <v>1.5191532240041994E-3</v>
      </c>
    </row>
    <row r="116" spans="2:14" x14ac:dyDescent="0.3">
      <c r="B116" s="3" t="s">
        <v>143</v>
      </c>
      <c r="C116" s="3">
        <v>-1.0360015313489299</v>
      </c>
      <c r="D116" s="3">
        <v>135.20806276366801</v>
      </c>
      <c r="E116" s="3">
        <v>75.441372374713495</v>
      </c>
      <c r="F116" s="3">
        <v>82.3</v>
      </c>
      <c r="H116" s="3">
        <f t="shared" si="6"/>
        <v>4.4103711076830239</v>
      </c>
      <c r="I116" s="3">
        <f t="shared" si="9"/>
        <v>-0.13992041679507761</v>
      </c>
      <c r="J116" s="3">
        <v>-1.0360015313489299</v>
      </c>
      <c r="K116" s="3">
        <f t="shared" si="7"/>
        <v>4.906814797656665</v>
      </c>
      <c r="L116" s="3">
        <f t="shared" si="10"/>
        <v>2.5974877000134455E-3</v>
      </c>
      <c r="M116" s="3">
        <f t="shared" si="8"/>
        <v>4.3233558297651653</v>
      </c>
      <c r="N116" s="3">
        <f t="shared" si="11"/>
        <v>8.5739931453687745E-4</v>
      </c>
    </row>
    <row r="117" spans="2:14" x14ac:dyDescent="0.3">
      <c r="B117" s="3" t="s">
        <v>144</v>
      </c>
      <c r="C117" s="3">
        <v>-1.1758635994161</v>
      </c>
      <c r="D117" s="3">
        <v>135.67194262233599</v>
      </c>
      <c r="E117" s="3">
        <v>75.440492215267597</v>
      </c>
      <c r="F117" s="3">
        <v>87.9</v>
      </c>
      <c r="H117" s="3">
        <f t="shared" si="6"/>
        <v>4.4761998046911318</v>
      </c>
      <c r="I117" s="3">
        <f t="shared" si="9"/>
        <v>6.5828697008107895E-2</v>
      </c>
      <c r="J117" s="3">
        <v>-1.1758635994161</v>
      </c>
      <c r="K117" s="3">
        <f t="shared" si="7"/>
        <v>4.9102397851264517</v>
      </c>
      <c r="L117" s="3">
        <f t="shared" si="10"/>
        <v>3.4249874697867E-3</v>
      </c>
      <c r="M117" s="3">
        <f t="shared" si="8"/>
        <v>4.3233441628965412</v>
      </c>
      <c r="N117" s="3">
        <f t="shared" si="11"/>
        <v>-1.1666868624082838E-5</v>
      </c>
    </row>
    <row r="118" spans="2:14" x14ac:dyDescent="0.3">
      <c r="B118" s="3" t="s">
        <v>145</v>
      </c>
      <c r="C118" s="3">
        <v>-0.46325354779088401</v>
      </c>
      <c r="D118" s="3">
        <v>136.32197869958301</v>
      </c>
      <c r="E118" s="3">
        <v>75.818033289799502</v>
      </c>
      <c r="F118" s="3">
        <v>94.13</v>
      </c>
      <c r="H118" s="3">
        <f t="shared" si="6"/>
        <v>4.5446768055591287</v>
      </c>
      <c r="I118" s="3">
        <f t="shared" si="9"/>
        <v>6.8477000867996907E-2</v>
      </c>
      <c r="J118" s="3">
        <v>-0.46325354779088401</v>
      </c>
      <c r="K118" s="3">
        <f t="shared" si="7"/>
        <v>4.9150195780841059</v>
      </c>
      <c r="L118" s="3">
        <f t="shared" si="10"/>
        <v>4.7797929576542941E-3</v>
      </c>
      <c r="M118" s="3">
        <f t="shared" si="8"/>
        <v>4.328336170551017</v>
      </c>
      <c r="N118" s="3">
        <f t="shared" si="11"/>
        <v>4.9920076544758274E-3</v>
      </c>
    </row>
    <row r="119" spans="2:14" x14ac:dyDescent="0.3">
      <c r="B119" s="3" t="s">
        <v>146</v>
      </c>
      <c r="C119" s="3">
        <v>0.12734557982862099</v>
      </c>
      <c r="D119" s="3">
        <v>137.13340738008</v>
      </c>
      <c r="E119" s="3">
        <v>76.267390980008599</v>
      </c>
      <c r="F119" s="3">
        <v>94.51</v>
      </c>
      <c r="H119" s="3">
        <f t="shared" si="6"/>
        <v>4.5487056490069646</v>
      </c>
      <c r="I119" s="3">
        <f t="shared" si="9"/>
        <v>4.0288434478359392E-3</v>
      </c>
      <c r="J119" s="3">
        <v>0.12734557982862099</v>
      </c>
      <c r="K119" s="3">
        <f t="shared" si="7"/>
        <v>4.9209542285122927</v>
      </c>
      <c r="L119" s="3">
        <f t="shared" si="10"/>
        <v>5.9346504281867496E-3</v>
      </c>
      <c r="M119" s="3">
        <f t="shared" si="8"/>
        <v>4.334245467907933</v>
      </c>
      <c r="N119" s="3">
        <f t="shared" si="11"/>
        <v>5.9092973569159213E-3</v>
      </c>
    </row>
    <row r="120" spans="2:14" x14ac:dyDescent="0.3">
      <c r="B120" s="3" t="s">
        <v>147</v>
      </c>
      <c r="C120" s="3">
        <v>6.99748874554314E-2</v>
      </c>
      <c r="D120" s="3">
        <v>136.64081680836301</v>
      </c>
      <c r="E120" s="3">
        <v>76.227501520347701</v>
      </c>
      <c r="F120" s="3">
        <v>89.49</v>
      </c>
      <c r="H120" s="3">
        <f t="shared" si="6"/>
        <v>4.4941268871947671</v>
      </c>
      <c r="I120" s="3">
        <f t="shared" si="9"/>
        <v>-5.4578761812197563E-2</v>
      </c>
      <c r="J120" s="3">
        <v>6.99748874554314E-2</v>
      </c>
      <c r="K120" s="3">
        <f t="shared" si="7"/>
        <v>4.9173557078353536</v>
      </c>
      <c r="L120" s="3">
        <f t="shared" si="10"/>
        <v>-3.5985206769391098E-3</v>
      </c>
      <c r="M120" s="3">
        <f t="shared" si="8"/>
        <v>4.3337223099199296</v>
      </c>
      <c r="N120" s="3">
        <f t="shared" si="11"/>
        <v>-5.2315798800339763E-4</v>
      </c>
    </row>
    <row r="121" spans="2:14" x14ac:dyDescent="0.3">
      <c r="B121" s="3" t="s">
        <v>148</v>
      </c>
      <c r="C121" s="3">
        <v>7.4904584855138803E-2</v>
      </c>
      <c r="D121" s="3">
        <v>136.55878758152099</v>
      </c>
      <c r="E121" s="3">
        <v>76.254351292655102</v>
      </c>
      <c r="F121" s="3">
        <v>86.53</v>
      </c>
      <c r="H121" s="3">
        <f t="shared" si="6"/>
        <v>4.4604911746186477</v>
      </c>
      <c r="I121" s="3">
        <f t="shared" si="9"/>
        <v>-3.3635712576119303E-2</v>
      </c>
      <c r="J121" s="3">
        <v>7.4904584855138803E-2</v>
      </c>
      <c r="K121" s="3">
        <f t="shared" si="7"/>
        <v>4.9167552001626564</v>
      </c>
      <c r="L121" s="3">
        <f t="shared" si="10"/>
        <v>-6.0050767269714811E-4</v>
      </c>
      <c r="M121" s="3">
        <f t="shared" si="8"/>
        <v>4.3340744799924931</v>
      </c>
      <c r="N121" s="3">
        <f t="shared" si="11"/>
        <v>3.5217007256349575E-4</v>
      </c>
    </row>
    <row r="122" spans="2:14" x14ac:dyDescent="0.3">
      <c r="B122" s="3" t="s">
        <v>149</v>
      </c>
      <c r="C122" s="3">
        <v>-0.96580307032291302</v>
      </c>
      <c r="D122" s="3">
        <v>136.73552118986001</v>
      </c>
      <c r="E122" s="3">
        <v>76.418986210489507</v>
      </c>
      <c r="F122" s="3">
        <v>87.86</v>
      </c>
      <c r="H122" s="3">
        <f t="shared" si="6"/>
        <v>4.4757446385476332</v>
      </c>
      <c r="I122" s="3">
        <f t="shared" si="9"/>
        <v>1.5253463928985411E-2</v>
      </c>
      <c r="J122" s="3">
        <v>-0.96580307032291302</v>
      </c>
      <c r="K122" s="3">
        <f t="shared" si="7"/>
        <v>4.9180485577431323</v>
      </c>
      <c r="L122" s="3">
        <f t="shared" si="10"/>
        <v>1.2933575804758846E-3</v>
      </c>
      <c r="M122" s="3">
        <f t="shared" si="8"/>
        <v>4.3362311759073302</v>
      </c>
      <c r="N122" s="3">
        <f t="shared" si="11"/>
        <v>2.1566959148371367E-3</v>
      </c>
    </row>
    <row r="123" spans="2:14" x14ac:dyDescent="0.3">
      <c r="B123" s="3" t="s">
        <v>150</v>
      </c>
      <c r="C123" s="3">
        <v>-3.03332411809808E-2</v>
      </c>
      <c r="D123" s="3">
        <v>139.70985528842701</v>
      </c>
      <c r="E123" s="3">
        <v>76.571836447038507</v>
      </c>
      <c r="F123" s="3">
        <v>94.76</v>
      </c>
      <c r="H123" s="3">
        <f t="shared" si="6"/>
        <v>4.5513473792905845</v>
      </c>
      <c r="I123" s="3">
        <f t="shared" si="9"/>
        <v>7.5602740742951369E-2</v>
      </c>
      <c r="J123" s="3">
        <v>-3.03332411809808E-2</v>
      </c>
      <c r="K123" s="3">
        <f t="shared" si="7"/>
        <v>4.9395678098621811</v>
      </c>
      <c r="L123" s="3">
        <f t="shared" si="10"/>
        <v>2.1519252119048815E-2</v>
      </c>
      <c r="M123" s="3">
        <f t="shared" si="8"/>
        <v>4.3382293387350135</v>
      </c>
      <c r="N123" s="3">
        <f t="shared" si="11"/>
        <v>1.9981628276832808E-3</v>
      </c>
    </row>
    <row r="124" spans="2:14" x14ac:dyDescent="0.3">
      <c r="B124" s="3" t="s">
        <v>151</v>
      </c>
      <c r="C124" s="3">
        <v>1.71814347794273</v>
      </c>
      <c r="D124" s="3">
        <v>140.15033667035999</v>
      </c>
      <c r="E124" s="3">
        <v>76.473123456864698</v>
      </c>
      <c r="F124" s="3">
        <v>95.31</v>
      </c>
      <c r="H124" s="3">
        <f t="shared" si="6"/>
        <v>4.5571347369495347</v>
      </c>
      <c r="I124" s="3">
        <f t="shared" si="9"/>
        <v>5.7873576589502207E-3</v>
      </c>
      <c r="J124" s="3">
        <v>1.71814347794273</v>
      </c>
      <c r="K124" s="3">
        <f t="shared" si="7"/>
        <v>4.9427156798223963</v>
      </c>
      <c r="L124" s="3">
        <f t="shared" si="10"/>
        <v>3.1478699602152105E-3</v>
      </c>
      <c r="M124" s="3">
        <f t="shared" si="8"/>
        <v>4.3369393517413286</v>
      </c>
      <c r="N124" s="3">
        <f t="shared" si="11"/>
        <v>-1.2899869936848773E-3</v>
      </c>
    </row>
    <row r="125" spans="2:14" x14ac:dyDescent="0.3">
      <c r="B125" s="3" t="s">
        <v>152</v>
      </c>
      <c r="C125" s="3">
        <v>-1.0389001684231101</v>
      </c>
      <c r="D125" s="3">
        <v>140.87640263900599</v>
      </c>
      <c r="E125" s="3">
        <v>76.794206725277903</v>
      </c>
      <c r="F125" s="3">
        <v>92.94</v>
      </c>
      <c r="H125" s="3">
        <f t="shared" si="6"/>
        <v>4.5319541236568321</v>
      </c>
      <c r="I125" s="3">
        <f t="shared" si="9"/>
        <v>-2.5180613292702603E-2</v>
      </c>
      <c r="J125" s="3">
        <v>-1.0389001684231101</v>
      </c>
      <c r="K125" s="3">
        <f t="shared" si="7"/>
        <v>4.9478829289315343</v>
      </c>
      <c r="L125" s="3">
        <f t="shared" si="10"/>
        <v>5.1672491091379058E-3</v>
      </c>
      <c r="M125" s="3">
        <f t="shared" si="8"/>
        <v>4.3411292040437841</v>
      </c>
      <c r="N125" s="3">
        <f t="shared" si="11"/>
        <v>4.189852302455499E-3</v>
      </c>
    </row>
    <row r="126" spans="2:14" x14ac:dyDescent="0.3">
      <c r="B126" s="3" t="s">
        <v>153</v>
      </c>
      <c r="C126" s="3">
        <v>0.122529325615687</v>
      </c>
      <c r="D126" s="3">
        <v>140.371376799139</v>
      </c>
      <c r="E126" s="3">
        <v>77.001623861752506</v>
      </c>
      <c r="F126" s="3">
        <v>92.02</v>
      </c>
      <c r="H126" s="3">
        <f t="shared" si="6"/>
        <v>4.5220059447273222</v>
      </c>
      <c r="I126" s="3">
        <f t="shared" si="9"/>
        <v>-9.9481789295099432E-3</v>
      </c>
      <c r="J126" s="3">
        <v>0.122529325615687</v>
      </c>
      <c r="K126" s="3">
        <f t="shared" si="7"/>
        <v>4.9442916018556096</v>
      </c>
      <c r="L126" s="3">
        <f t="shared" si="10"/>
        <v>-3.5913270759246885E-3</v>
      </c>
      <c r="M126" s="3">
        <f t="shared" si="8"/>
        <v>4.3438265107449805</v>
      </c>
      <c r="N126" s="3">
        <f t="shared" si="11"/>
        <v>2.6973067011963892E-3</v>
      </c>
    </row>
    <row r="127" spans="2:14" x14ac:dyDescent="0.3">
      <c r="B127" s="3" t="s">
        <v>154</v>
      </c>
      <c r="C127" s="3">
        <v>1.38913529777839</v>
      </c>
      <c r="D127" s="3">
        <v>141.08840011370401</v>
      </c>
      <c r="E127" s="3">
        <v>77.236424321260301</v>
      </c>
      <c r="F127" s="3">
        <v>94.51</v>
      </c>
      <c r="H127" s="3">
        <f t="shared" si="6"/>
        <v>4.5487056490069646</v>
      </c>
      <c r="I127" s="3">
        <f t="shared" si="9"/>
        <v>2.6699704279642411E-2</v>
      </c>
      <c r="J127" s="3">
        <v>1.38913529777839</v>
      </c>
      <c r="K127" s="3">
        <f t="shared" si="7"/>
        <v>4.9493866450874169</v>
      </c>
      <c r="L127" s="3">
        <f t="shared" si="10"/>
        <v>5.0950432318073169E-3</v>
      </c>
      <c r="M127" s="3">
        <f t="shared" si="8"/>
        <v>4.3468711633926951</v>
      </c>
      <c r="N127" s="3">
        <f t="shared" si="11"/>
        <v>3.0446526477145852E-3</v>
      </c>
    </row>
    <row r="128" spans="2:14" x14ac:dyDescent="0.3">
      <c r="B128" s="3" t="s">
        <v>155</v>
      </c>
      <c r="C128" s="3">
        <v>3.29299969828834</v>
      </c>
      <c r="D128" s="3">
        <v>143.55684291987899</v>
      </c>
      <c r="E128" s="3">
        <v>77.533927207797007</v>
      </c>
      <c r="F128" s="3">
        <v>95.77</v>
      </c>
      <c r="H128" s="3">
        <f t="shared" si="6"/>
        <v>4.5619494835335281</v>
      </c>
      <c r="I128" s="3">
        <f t="shared" si="9"/>
        <v>1.3243834526563525E-2</v>
      </c>
      <c r="J128" s="3">
        <v>3.29299969828834</v>
      </c>
      <c r="K128" s="3">
        <f t="shared" si="7"/>
        <v>4.9667310746742537</v>
      </c>
      <c r="L128" s="3">
        <f t="shared" si="10"/>
        <v>1.7344429586836796E-2</v>
      </c>
      <c r="M128" s="3">
        <f t="shared" si="8"/>
        <v>4.3507156109889724</v>
      </c>
      <c r="N128" s="3">
        <f t="shared" si="11"/>
        <v>3.8444475962773339E-3</v>
      </c>
    </row>
    <row r="129" spans="2:14" x14ac:dyDescent="0.3">
      <c r="B129" s="3" t="s">
        <v>156</v>
      </c>
      <c r="C129" s="3">
        <v>0.14216463170816601</v>
      </c>
      <c r="D129" s="3">
        <v>143.09365561706099</v>
      </c>
      <c r="E129" s="3">
        <v>77.882746000135597</v>
      </c>
      <c r="F129" s="3">
        <v>104.67</v>
      </c>
      <c r="H129" s="3">
        <f t="shared" si="6"/>
        <v>4.6508125438667927</v>
      </c>
      <c r="I129" s="3">
        <f t="shared" si="9"/>
        <v>8.8863060333264521E-2</v>
      </c>
      <c r="J129" s="3">
        <v>0.14216463170816601</v>
      </c>
      <c r="K129" s="3">
        <f t="shared" si="7"/>
        <v>4.9634993502690214</v>
      </c>
      <c r="L129" s="3">
        <f t="shared" si="10"/>
        <v>-3.231724405232228E-3</v>
      </c>
      <c r="M129" s="3">
        <f t="shared" si="8"/>
        <v>4.3552044392575375</v>
      </c>
      <c r="N129" s="3">
        <f t="shared" si="11"/>
        <v>4.4888282685651149E-3</v>
      </c>
    </row>
    <row r="130" spans="2:14" x14ac:dyDescent="0.3">
      <c r="B130" s="3" t="s">
        <v>157</v>
      </c>
      <c r="C130" s="3">
        <v>0.500746713460403</v>
      </c>
      <c r="D130" s="3">
        <v>144.205279337543</v>
      </c>
      <c r="E130" s="3">
        <v>78.294157865603395</v>
      </c>
      <c r="F130" s="3">
        <v>106.57</v>
      </c>
      <c r="H130" s="3">
        <f t="shared" si="6"/>
        <v>4.668802046232865</v>
      </c>
      <c r="I130" s="3">
        <f t="shared" si="9"/>
        <v>1.798950236607233E-2</v>
      </c>
      <c r="J130" s="3">
        <v>0.500746713460403</v>
      </c>
      <c r="K130" s="3">
        <f t="shared" si="7"/>
        <v>4.971237835398032</v>
      </c>
      <c r="L130" s="3">
        <f t="shared" si="10"/>
        <v>7.7384851290105416E-3</v>
      </c>
      <c r="M130" s="3">
        <f t="shared" si="8"/>
        <v>4.3604729880241564</v>
      </c>
      <c r="N130" s="3">
        <f t="shared" si="11"/>
        <v>5.2685487666188635E-3</v>
      </c>
    </row>
    <row r="131" spans="2:14" x14ac:dyDescent="0.3">
      <c r="B131" s="3" t="s">
        <v>158</v>
      </c>
      <c r="C131" s="3">
        <v>-0.20921517748346499</v>
      </c>
      <c r="D131" s="3">
        <v>143.31856505518601</v>
      </c>
      <c r="E131" s="3">
        <v>78.425075334682006</v>
      </c>
      <c r="F131" s="3">
        <v>106.29</v>
      </c>
      <c r="H131" s="3">
        <f t="shared" si="6"/>
        <v>4.6661712075454904</v>
      </c>
      <c r="I131" s="3">
        <f t="shared" si="9"/>
        <v>-2.6308386873745704E-3</v>
      </c>
      <c r="J131" s="3">
        <v>-0.20921517748346499</v>
      </c>
      <c r="K131" s="3">
        <f t="shared" si="7"/>
        <v>4.9650698802123774</v>
      </c>
      <c r="L131" s="3">
        <f t="shared" si="10"/>
        <v>-6.1679551856546055E-3</v>
      </c>
      <c r="M131" s="3">
        <f t="shared" si="8"/>
        <v>4.3621437146715243</v>
      </c>
      <c r="N131" s="3">
        <f t="shared" si="11"/>
        <v>1.6707266473678928E-3</v>
      </c>
    </row>
    <row r="132" spans="2:14" x14ac:dyDescent="0.3">
      <c r="B132" s="3" t="s">
        <v>159</v>
      </c>
      <c r="C132" s="3">
        <v>0.60464716475508595</v>
      </c>
      <c r="D132" s="3">
        <v>144.85809021555301</v>
      </c>
      <c r="E132" s="3">
        <v>78.546408736546894</v>
      </c>
      <c r="F132" s="3">
        <v>100.54</v>
      </c>
      <c r="H132" s="3">
        <f t="shared" ref="H132:H195" si="12">LN(F132)</f>
        <v>4.6105556582644294</v>
      </c>
      <c r="I132" s="3">
        <f t="shared" si="9"/>
        <v>-5.561554928106105E-2</v>
      </c>
      <c r="J132" s="3">
        <v>0.60464716475508595</v>
      </c>
      <c r="K132" s="3">
        <f t="shared" ref="K132:K195" si="13">LN(D132)</f>
        <v>4.9757545750240064</v>
      </c>
      <c r="L132" s="3">
        <f t="shared" si="10"/>
        <v>1.0684694811629036E-2</v>
      </c>
      <c r="M132" s="3">
        <f t="shared" ref="M132:M195" si="14">LN(E132)</f>
        <v>4.3636896441981179</v>
      </c>
      <c r="N132" s="3">
        <f t="shared" si="11"/>
        <v>1.5459295265936035E-3</v>
      </c>
    </row>
    <row r="133" spans="2:14" x14ac:dyDescent="0.3">
      <c r="B133" s="3" t="s">
        <v>160</v>
      </c>
      <c r="C133" s="3">
        <v>0.61798780042495904</v>
      </c>
      <c r="D133" s="3">
        <v>146.79956221196301</v>
      </c>
      <c r="E133" s="3">
        <v>78.509391325480294</v>
      </c>
      <c r="F133" s="3">
        <v>93.86</v>
      </c>
      <c r="H133" s="3">
        <f t="shared" si="12"/>
        <v>4.5418043103662713</v>
      </c>
      <c r="I133" s="3">
        <f t="shared" ref="I133:I196" si="15">H133-H132</f>
        <v>-6.8751347898158066E-2</v>
      </c>
      <c r="J133" s="3">
        <v>0.61798780042495904</v>
      </c>
      <c r="K133" s="3">
        <f t="shared" si="13"/>
        <v>4.9890681339686322</v>
      </c>
      <c r="L133" s="3">
        <f t="shared" ref="L133:L196" si="16">K133-K132</f>
        <v>1.3313558944625825E-2</v>
      </c>
      <c r="M133" s="3">
        <f t="shared" si="14"/>
        <v>4.363218252352195</v>
      </c>
      <c r="N133" s="3">
        <f t="shared" ref="N133:N196" si="17">M133-M132</f>
        <v>-4.7139184592293049E-4</v>
      </c>
    </row>
    <row r="134" spans="2:14" x14ac:dyDescent="0.3">
      <c r="B134" s="3" t="s">
        <v>161</v>
      </c>
      <c r="C134" s="3">
        <v>-0.46339720332456902</v>
      </c>
      <c r="D134" s="3">
        <v>145.44662114066301</v>
      </c>
      <c r="E134" s="3">
        <v>78.603407322036702</v>
      </c>
      <c r="F134" s="3">
        <v>97.63</v>
      </c>
      <c r="H134" s="3">
        <f t="shared" si="12"/>
        <v>4.5811848232375798</v>
      </c>
      <c r="I134" s="3">
        <f t="shared" si="15"/>
        <v>3.9380512871308504E-2</v>
      </c>
      <c r="J134" s="3">
        <v>-0.46339720332456902</v>
      </c>
      <c r="K134" s="3">
        <f t="shared" si="13"/>
        <v>4.9798091542874898</v>
      </c>
      <c r="L134" s="3">
        <f t="shared" si="16"/>
        <v>-9.2589796811424208E-3</v>
      </c>
      <c r="M134" s="3">
        <f t="shared" si="14"/>
        <v>4.3644150486487092</v>
      </c>
      <c r="N134" s="3">
        <f t="shared" si="17"/>
        <v>1.1967962965142576E-3</v>
      </c>
    </row>
    <row r="135" spans="2:14" x14ac:dyDescent="0.3">
      <c r="B135" s="3" t="s">
        <v>162</v>
      </c>
      <c r="C135" s="3">
        <v>0.58149692070534797</v>
      </c>
      <c r="D135" s="3">
        <v>145.58529701724399</v>
      </c>
      <c r="E135" s="3">
        <v>78.919859028009</v>
      </c>
      <c r="F135" s="3">
        <v>94.62</v>
      </c>
      <c r="H135" s="3">
        <f t="shared" si="12"/>
        <v>4.5498688702030021</v>
      </c>
      <c r="I135" s="3">
        <f t="shared" si="15"/>
        <v>-3.1315953034577682E-2</v>
      </c>
      <c r="J135" s="3">
        <v>0.58149692070534797</v>
      </c>
      <c r="K135" s="3">
        <f t="shared" si="13"/>
        <v>4.9807621486391342</v>
      </c>
      <c r="L135" s="3">
        <f t="shared" si="16"/>
        <v>9.5299435164442059E-4</v>
      </c>
      <c r="M135" s="3">
        <f t="shared" si="14"/>
        <v>4.368432894888362</v>
      </c>
      <c r="N135" s="3">
        <f t="shared" si="17"/>
        <v>4.0178462396527337E-3</v>
      </c>
    </row>
    <row r="136" spans="2:14" x14ac:dyDescent="0.3">
      <c r="B136" s="3" t="s">
        <v>163</v>
      </c>
      <c r="C136" s="3">
        <v>-0.30451740896955098</v>
      </c>
      <c r="D136" s="3">
        <v>147.26298949034501</v>
      </c>
      <c r="E136" s="3">
        <v>79.364259041840498</v>
      </c>
      <c r="F136" s="3">
        <v>100.82</v>
      </c>
      <c r="H136" s="3">
        <f t="shared" si="12"/>
        <v>4.6133367486544845</v>
      </c>
      <c r="I136" s="3">
        <f t="shared" si="15"/>
        <v>6.3467878451482385E-2</v>
      </c>
      <c r="J136" s="3">
        <v>-0.30451740896955098</v>
      </c>
      <c r="K136" s="3">
        <f t="shared" si="13"/>
        <v>4.9922200324974151</v>
      </c>
      <c r="L136" s="3">
        <f t="shared" si="16"/>
        <v>1.1457883858280837E-2</v>
      </c>
      <c r="M136" s="3">
        <f t="shared" si="14"/>
        <v>4.3740481288984778</v>
      </c>
      <c r="N136" s="3">
        <f t="shared" si="17"/>
        <v>5.6152340101158771E-3</v>
      </c>
    </row>
    <row r="137" spans="2:14" x14ac:dyDescent="0.3">
      <c r="B137" s="3" t="s">
        <v>164</v>
      </c>
      <c r="C137" s="3">
        <v>-0.38122772743586297</v>
      </c>
      <c r="D137" s="3">
        <v>146.14403041086601</v>
      </c>
      <c r="E137" s="3">
        <v>79.384168297208205</v>
      </c>
      <c r="F137" s="3">
        <v>100.8</v>
      </c>
      <c r="H137" s="3">
        <f t="shared" si="12"/>
        <v>4.6131383556372683</v>
      </c>
      <c r="I137" s="3">
        <f t="shared" si="15"/>
        <v>-1.9839301721624736E-4</v>
      </c>
      <c r="J137" s="3">
        <v>-0.38122772743586297</v>
      </c>
      <c r="K137" s="3">
        <f t="shared" si="13"/>
        <v>4.9845926450909319</v>
      </c>
      <c r="L137" s="3">
        <f t="shared" si="16"/>
        <v>-7.6273874064831659E-3</v>
      </c>
      <c r="M137" s="3">
        <f t="shared" si="14"/>
        <v>4.3742989566490991</v>
      </c>
      <c r="N137" s="3">
        <f t="shared" si="17"/>
        <v>2.5082775062124085E-4</v>
      </c>
    </row>
    <row r="138" spans="2:14" x14ac:dyDescent="0.3">
      <c r="B138" s="3" t="s">
        <v>165</v>
      </c>
      <c r="C138" s="3">
        <v>-0.26473750315162298</v>
      </c>
      <c r="D138" s="3">
        <v>146.66843223995301</v>
      </c>
      <c r="E138" s="3">
        <v>79.716222511643906</v>
      </c>
      <c r="F138" s="3">
        <v>102.07</v>
      </c>
      <c r="H138" s="3">
        <f t="shared" si="12"/>
        <v>4.6256588524154072</v>
      </c>
      <c r="I138" s="3">
        <f t="shared" si="15"/>
        <v>1.2520496778138934E-2</v>
      </c>
      <c r="J138" s="3">
        <v>-0.26473750315162298</v>
      </c>
      <c r="K138" s="3">
        <f t="shared" si="13"/>
        <v>4.9881744761714204</v>
      </c>
      <c r="L138" s="3">
        <f t="shared" si="16"/>
        <v>3.5818310804884845E-3</v>
      </c>
      <c r="M138" s="3">
        <f t="shared" si="14"/>
        <v>4.378473109771889</v>
      </c>
      <c r="N138" s="3">
        <f t="shared" si="17"/>
        <v>4.1741531227899031E-3</v>
      </c>
    </row>
    <row r="139" spans="2:14" x14ac:dyDescent="0.3">
      <c r="B139" s="3" t="s">
        <v>166</v>
      </c>
      <c r="C139" s="3">
        <v>-0.112425016150572</v>
      </c>
      <c r="D139" s="3">
        <v>145.60776516669699</v>
      </c>
      <c r="E139" s="3">
        <v>79.983307003459004</v>
      </c>
      <c r="F139" s="3">
        <v>102.18</v>
      </c>
      <c r="H139" s="3">
        <f t="shared" si="12"/>
        <v>4.626735963902652</v>
      </c>
      <c r="I139" s="3">
        <f t="shared" si="15"/>
        <v>1.077111487244764E-3</v>
      </c>
      <c r="J139" s="3">
        <v>-0.112425016150572</v>
      </c>
      <c r="K139" s="3">
        <f t="shared" si="13"/>
        <v>4.9809164665293277</v>
      </c>
      <c r="L139" s="3">
        <f t="shared" si="16"/>
        <v>-7.2580096420926665E-3</v>
      </c>
      <c r="M139" s="3">
        <f t="shared" si="14"/>
        <v>4.3818179504440797</v>
      </c>
      <c r="N139" s="3">
        <f t="shared" si="17"/>
        <v>3.3448406721907631E-3</v>
      </c>
    </row>
    <row r="140" spans="2:14" x14ac:dyDescent="0.3">
      <c r="B140" s="3" t="s">
        <v>167</v>
      </c>
      <c r="C140" s="3">
        <v>8.7216560184208605E-2</v>
      </c>
      <c r="D140" s="3">
        <v>144.14033576006199</v>
      </c>
      <c r="E140" s="3">
        <v>80.210704088408207</v>
      </c>
      <c r="F140" s="3">
        <v>105.79</v>
      </c>
      <c r="H140" s="3">
        <f t="shared" si="12"/>
        <v>4.6614559969986828</v>
      </c>
      <c r="I140" s="3">
        <f t="shared" si="15"/>
        <v>3.4720033096030889E-2</v>
      </c>
      <c r="J140" s="3">
        <v>8.7216560184208605E-2</v>
      </c>
      <c r="K140" s="3">
        <f t="shared" si="13"/>
        <v>4.9707873788959827</v>
      </c>
      <c r="L140" s="3">
        <f t="shared" si="16"/>
        <v>-1.012908763334508E-2</v>
      </c>
      <c r="M140" s="3">
        <f t="shared" si="14"/>
        <v>4.3846569734029943</v>
      </c>
      <c r="N140" s="3">
        <f t="shared" si="17"/>
        <v>2.8390229589145832E-3</v>
      </c>
    </row>
    <row r="141" spans="2:14" x14ac:dyDescent="0.3">
      <c r="B141" s="3" t="s">
        <v>168</v>
      </c>
      <c r="C141" s="3">
        <v>-0.72797325875961605</v>
      </c>
      <c r="D141" s="3">
        <v>145.83555875869399</v>
      </c>
      <c r="E141" s="3">
        <v>80.475620229241599</v>
      </c>
      <c r="F141" s="3">
        <v>103.59</v>
      </c>
      <c r="H141" s="3">
        <f t="shared" si="12"/>
        <v>4.640440800070011</v>
      </c>
      <c r="I141" s="3">
        <f t="shared" si="15"/>
        <v>-2.101519692867182E-2</v>
      </c>
      <c r="J141" s="3">
        <v>-0.72797325875961605</v>
      </c>
      <c r="K141" s="3">
        <f t="shared" si="13"/>
        <v>4.9824796770727415</v>
      </c>
      <c r="L141" s="3">
        <f t="shared" si="16"/>
        <v>1.1692298176758875E-2</v>
      </c>
      <c r="M141" s="3">
        <f t="shared" si="14"/>
        <v>4.3879542842597585</v>
      </c>
      <c r="N141" s="3">
        <f t="shared" si="17"/>
        <v>3.2973108567642129E-3</v>
      </c>
    </row>
    <row r="142" spans="2:14" x14ac:dyDescent="0.3">
      <c r="B142" s="3" t="s">
        <v>169</v>
      </c>
      <c r="C142" s="3">
        <v>0.65071721659535797</v>
      </c>
      <c r="D142" s="3">
        <v>146.17840180520199</v>
      </c>
      <c r="E142" s="3">
        <v>80.391554728417802</v>
      </c>
      <c r="F142" s="3">
        <v>96.54</v>
      </c>
      <c r="H142" s="3">
        <f t="shared" si="12"/>
        <v>4.5699574302323471</v>
      </c>
      <c r="I142" s="3">
        <f t="shared" si="15"/>
        <v>-7.0483369837663901E-2</v>
      </c>
      <c r="J142" s="3">
        <v>0.65071721659535797</v>
      </c>
      <c r="K142" s="3">
        <f t="shared" si="13"/>
        <v>4.9848278059318831</v>
      </c>
      <c r="L142" s="3">
        <f t="shared" si="16"/>
        <v>2.3481288591415961E-3</v>
      </c>
      <c r="M142" s="3">
        <f t="shared" si="14"/>
        <v>4.3869091299764404</v>
      </c>
      <c r="N142" s="3">
        <f t="shared" si="17"/>
        <v>-1.0451542833180838E-3</v>
      </c>
    </row>
    <row r="143" spans="2:14" x14ac:dyDescent="0.3">
      <c r="B143" s="3" t="s">
        <v>170</v>
      </c>
      <c r="C143" s="3">
        <v>0.99665659954435404</v>
      </c>
      <c r="D143" s="3">
        <v>146.63656727328399</v>
      </c>
      <c r="E143" s="3">
        <v>80.574427728317005</v>
      </c>
      <c r="F143" s="3">
        <v>93.21</v>
      </c>
      <c r="H143" s="3">
        <f t="shared" si="12"/>
        <v>4.5348550120730655</v>
      </c>
      <c r="I143" s="3">
        <f t="shared" si="15"/>
        <v>-3.5102418159281612E-2</v>
      </c>
      <c r="J143" s="3">
        <v>0.99665659954435404</v>
      </c>
      <c r="K143" s="3">
        <f t="shared" si="13"/>
        <v>4.9879571940463476</v>
      </c>
      <c r="L143" s="3">
        <f t="shared" si="16"/>
        <v>3.1293881144645042E-3</v>
      </c>
      <c r="M143" s="3">
        <f t="shared" si="14"/>
        <v>4.3891813253283676</v>
      </c>
      <c r="N143" s="3">
        <f t="shared" si="17"/>
        <v>2.272195351927131E-3</v>
      </c>
    </row>
    <row r="144" spans="2:14" x14ac:dyDescent="0.3">
      <c r="B144" s="3" t="s">
        <v>171</v>
      </c>
      <c r="C144" s="3">
        <v>0.33313801382416502</v>
      </c>
      <c r="D144" s="3">
        <v>147.97833693848801</v>
      </c>
      <c r="E144" s="3">
        <v>80.976671306990397</v>
      </c>
      <c r="F144" s="3">
        <v>84.4</v>
      </c>
      <c r="H144" s="3">
        <f t="shared" si="12"/>
        <v>4.4355674016019115</v>
      </c>
      <c r="I144" s="3">
        <f t="shared" si="15"/>
        <v>-9.9287610471153975E-2</v>
      </c>
      <c r="J144" s="3">
        <v>0.33313801382416502</v>
      </c>
      <c r="K144" s="3">
        <f t="shared" si="13"/>
        <v>4.99706589101344</v>
      </c>
      <c r="L144" s="3">
        <f t="shared" si="16"/>
        <v>9.1086969670923779E-3</v>
      </c>
      <c r="M144" s="3">
        <f t="shared" si="14"/>
        <v>4.3941611046343354</v>
      </c>
      <c r="N144" s="3">
        <f t="shared" si="17"/>
        <v>4.9797793059678241E-3</v>
      </c>
    </row>
    <row r="145" spans="2:14" x14ac:dyDescent="0.3">
      <c r="B145" s="3" t="s">
        <v>172</v>
      </c>
      <c r="C145" s="3">
        <v>-0.374295829211577</v>
      </c>
      <c r="D145" s="3">
        <v>147.067256030675</v>
      </c>
      <c r="E145" s="3">
        <v>80.989781171018905</v>
      </c>
      <c r="F145" s="3">
        <v>75.790000000000006</v>
      </c>
      <c r="H145" s="3">
        <f t="shared" si="12"/>
        <v>4.3279663578239376</v>
      </c>
      <c r="I145" s="3">
        <f t="shared" si="15"/>
        <v>-0.10760104377797397</v>
      </c>
      <c r="J145" s="3">
        <v>-0.374295829211577</v>
      </c>
      <c r="K145" s="3">
        <f t="shared" si="13"/>
        <v>4.990890006164733</v>
      </c>
      <c r="L145" s="3">
        <f t="shared" si="16"/>
        <v>-6.1758848487070139E-3</v>
      </c>
      <c r="M145" s="3">
        <f t="shared" si="14"/>
        <v>4.394322988331318</v>
      </c>
      <c r="N145" s="3">
        <f t="shared" si="17"/>
        <v>1.6188369698255656E-4</v>
      </c>
    </row>
    <row r="146" spans="2:14" x14ac:dyDescent="0.3">
      <c r="B146" s="3" t="s">
        <v>173</v>
      </c>
      <c r="C146" s="3">
        <v>3.3369257430976497E-2</v>
      </c>
      <c r="D146" s="3">
        <v>146.09515218920501</v>
      </c>
      <c r="E146" s="3">
        <v>81.133683819124101</v>
      </c>
      <c r="F146" s="3">
        <v>59.29</v>
      </c>
      <c r="H146" s="3">
        <f t="shared" si="12"/>
        <v>4.0824406577192764</v>
      </c>
      <c r="I146" s="3">
        <f t="shared" si="15"/>
        <v>-0.24552570010466113</v>
      </c>
      <c r="J146" s="3">
        <v>3.3369257430976497E-2</v>
      </c>
      <c r="K146" s="3">
        <f t="shared" si="13"/>
        <v>4.9842581367496344</v>
      </c>
      <c r="L146" s="3">
        <f t="shared" si="16"/>
        <v>-6.6318694150986346E-3</v>
      </c>
      <c r="M146" s="3">
        <f t="shared" si="14"/>
        <v>4.3960982117501537</v>
      </c>
      <c r="N146" s="3">
        <f t="shared" si="17"/>
        <v>1.7752234188357363E-3</v>
      </c>
    </row>
    <row r="147" spans="2:14" x14ac:dyDescent="0.3">
      <c r="B147" s="3" t="s">
        <v>174</v>
      </c>
      <c r="C147" s="3">
        <v>0.48425351301642899</v>
      </c>
      <c r="D147" s="3">
        <v>148.29246732116599</v>
      </c>
      <c r="E147" s="3">
        <v>81.343623514030597</v>
      </c>
      <c r="F147" s="3">
        <v>47.22</v>
      </c>
      <c r="H147" s="3">
        <f t="shared" si="12"/>
        <v>3.8548175316573667</v>
      </c>
      <c r="I147" s="3">
        <f t="shared" si="15"/>
        <v>-0.22762312606190971</v>
      </c>
      <c r="J147" s="3">
        <v>0.48425351301642899</v>
      </c>
      <c r="K147" s="3">
        <f t="shared" si="13"/>
        <v>4.9991864543350788</v>
      </c>
      <c r="L147" s="3">
        <f t="shared" si="16"/>
        <v>1.4928317585444439E-2</v>
      </c>
      <c r="M147" s="3">
        <f t="shared" si="14"/>
        <v>4.3986824472374177</v>
      </c>
      <c r="N147" s="3">
        <f t="shared" si="17"/>
        <v>2.5842354872640527E-3</v>
      </c>
    </row>
    <row r="148" spans="2:14" x14ac:dyDescent="0.3">
      <c r="B148" s="3" t="s">
        <v>175</v>
      </c>
      <c r="C148" s="3">
        <v>2.05080269261668</v>
      </c>
      <c r="D148" s="3">
        <v>149.03365737366801</v>
      </c>
      <c r="E148" s="3">
        <v>81.565051120963304</v>
      </c>
      <c r="F148" s="3">
        <v>50.58</v>
      </c>
      <c r="H148" s="3">
        <f t="shared" si="12"/>
        <v>3.923556241241819</v>
      </c>
      <c r="I148" s="3">
        <f t="shared" si="15"/>
        <v>6.8738709584452273E-2</v>
      </c>
      <c r="J148" s="3">
        <v>2.05080269261668</v>
      </c>
      <c r="K148" s="3">
        <f t="shared" si="13"/>
        <v>5.004172168850392</v>
      </c>
      <c r="L148" s="3">
        <f t="shared" si="16"/>
        <v>4.9857145153131555E-3</v>
      </c>
      <c r="M148" s="3">
        <f t="shared" si="14"/>
        <v>4.4014008751392897</v>
      </c>
      <c r="N148" s="3">
        <f t="shared" si="17"/>
        <v>2.7184279018719337E-3</v>
      </c>
    </row>
    <row r="149" spans="2:14" x14ac:dyDescent="0.3">
      <c r="B149" s="3" t="s">
        <v>176</v>
      </c>
      <c r="C149" s="3">
        <v>-1.7596029735170799</v>
      </c>
      <c r="D149" s="3">
        <v>150.08392605034399</v>
      </c>
      <c r="E149" s="3">
        <v>81.776477330609595</v>
      </c>
      <c r="F149" s="3">
        <v>47.82</v>
      </c>
      <c r="H149" s="3">
        <f t="shared" si="12"/>
        <v>3.8674439620301788</v>
      </c>
      <c r="I149" s="3">
        <f t="shared" si="15"/>
        <v>-5.6112279211640192E-2</v>
      </c>
      <c r="J149" s="3">
        <v>-1.7596029735170799</v>
      </c>
      <c r="K149" s="3">
        <f t="shared" si="13"/>
        <v>5.0111946446328659</v>
      </c>
      <c r="L149" s="3">
        <f t="shared" si="16"/>
        <v>7.022475782473947E-3</v>
      </c>
      <c r="M149" s="3">
        <f t="shared" si="14"/>
        <v>4.4039896390589961</v>
      </c>
      <c r="N149" s="3">
        <f t="shared" si="17"/>
        <v>2.5887639197064161E-3</v>
      </c>
    </row>
    <row r="150" spans="2:14" x14ac:dyDescent="0.3">
      <c r="B150" s="3" t="s">
        <v>177</v>
      </c>
      <c r="C150" s="3">
        <v>1.1764679369182001</v>
      </c>
      <c r="D150" s="3">
        <v>152.757111022326</v>
      </c>
      <c r="E150" s="3">
        <v>82.123446194537493</v>
      </c>
      <c r="F150" s="3">
        <v>54.45</v>
      </c>
      <c r="H150" s="3">
        <f t="shared" si="12"/>
        <v>3.9972828493789696</v>
      </c>
      <c r="I150" s="3">
        <f t="shared" si="15"/>
        <v>0.12983888734879079</v>
      </c>
      <c r="J150" s="3">
        <v>1.1764679369182001</v>
      </c>
      <c r="K150" s="3">
        <f t="shared" si="13"/>
        <v>5.0288491503057813</v>
      </c>
      <c r="L150" s="3">
        <f t="shared" si="16"/>
        <v>1.7654505672915377E-2</v>
      </c>
      <c r="M150" s="3">
        <f t="shared" si="14"/>
        <v>4.4082235566201575</v>
      </c>
      <c r="N150" s="3">
        <f t="shared" si="17"/>
        <v>4.2339175611614266E-3</v>
      </c>
    </row>
    <row r="151" spans="2:14" x14ac:dyDescent="0.3">
      <c r="B151" s="3" t="s">
        <v>178</v>
      </c>
      <c r="C151" s="3">
        <v>1.17293064395833</v>
      </c>
      <c r="D151" s="3">
        <v>148.15508390705901</v>
      </c>
      <c r="E151" s="3">
        <v>82.677960114787894</v>
      </c>
      <c r="F151" s="3">
        <v>59.27</v>
      </c>
      <c r="H151" s="3">
        <f t="shared" si="12"/>
        <v>4.0821032757997466</v>
      </c>
      <c r="I151" s="3">
        <f t="shared" si="15"/>
        <v>8.4820426420777029E-2</v>
      </c>
      <c r="J151" s="3">
        <v>1.17293064395833</v>
      </c>
      <c r="K151" s="3">
        <f t="shared" si="13"/>
        <v>4.998259589374495</v>
      </c>
      <c r="L151" s="3">
        <f t="shared" si="16"/>
        <v>-3.0589560931286286E-2</v>
      </c>
      <c r="M151" s="3">
        <f t="shared" si="14"/>
        <v>4.4149530624577791</v>
      </c>
      <c r="N151" s="3">
        <f t="shared" si="17"/>
        <v>6.7295058376215522E-3</v>
      </c>
    </row>
    <row r="152" spans="2:14" x14ac:dyDescent="0.3">
      <c r="B152" s="3" t="s">
        <v>179</v>
      </c>
      <c r="C152" s="3">
        <v>-0.31590514075915399</v>
      </c>
      <c r="D152" s="3">
        <v>150.31925761964999</v>
      </c>
      <c r="E152" s="3">
        <v>83.058638169152204</v>
      </c>
      <c r="F152" s="3">
        <v>59.82</v>
      </c>
      <c r="H152" s="3">
        <f t="shared" si="12"/>
        <v>4.0913400532018018</v>
      </c>
      <c r="I152" s="3">
        <f t="shared" si="15"/>
        <v>9.2367774020551963E-3</v>
      </c>
      <c r="J152" s="3">
        <v>-0.31590514075915399</v>
      </c>
      <c r="K152" s="3">
        <f t="shared" si="13"/>
        <v>5.0127614164265033</v>
      </c>
      <c r="L152" s="3">
        <f t="shared" si="16"/>
        <v>1.4501827052008309E-2</v>
      </c>
      <c r="M152" s="3">
        <f t="shared" si="14"/>
        <v>4.419546842319968</v>
      </c>
      <c r="N152" s="3">
        <f t="shared" si="17"/>
        <v>4.5937798621888959E-3</v>
      </c>
    </row>
    <row r="153" spans="2:14" x14ac:dyDescent="0.3">
      <c r="B153" s="3" t="s">
        <v>180</v>
      </c>
      <c r="C153" s="3">
        <v>-0.55385429372920802</v>
      </c>
      <c r="D153" s="3">
        <v>151.25115265266601</v>
      </c>
      <c r="E153" s="3">
        <v>83.344245587177696</v>
      </c>
      <c r="F153" s="3">
        <v>50.9</v>
      </c>
      <c r="H153" s="3">
        <f t="shared" si="12"/>
        <v>3.929862923556477</v>
      </c>
      <c r="I153" s="3">
        <f t="shared" si="15"/>
        <v>-0.16147712964532479</v>
      </c>
      <c r="J153" s="3">
        <v>-0.55385429372920802</v>
      </c>
      <c r="K153" s="3">
        <f t="shared" si="13"/>
        <v>5.0189417177259852</v>
      </c>
      <c r="L153" s="3">
        <f t="shared" si="16"/>
        <v>6.1803012994818829E-3</v>
      </c>
      <c r="M153" s="3">
        <f t="shared" si="14"/>
        <v>4.4229795676674533</v>
      </c>
      <c r="N153" s="3">
        <f t="shared" si="17"/>
        <v>3.4327253474852881E-3</v>
      </c>
    </row>
    <row r="154" spans="2:14" x14ac:dyDescent="0.3">
      <c r="B154" s="3" t="s">
        <v>181</v>
      </c>
      <c r="C154" s="3">
        <v>-0.55648829370655695</v>
      </c>
      <c r="D154" s="3">
        <v>150.01453042534899</v>
      </c>
      <c r="E154" s="3">
        <v>83.636771267008299</v>
      </c>
      <c r="F154" s="3">
        <v>42.87</v>
      </c>
      <c r="H154" s="3">
        <f t="shared" si="12"/>
        <v>3.7581722806098856</v>
      </c>
      <c r="I154" s="3">
        <f t="shared" si="15"/>
        <v>-0.17169064294659142</v>
      </c>
      <c r="J154" s="3">
        <v>-0.55648829370655695</v>
      </c>
      <c r="K154" s="3">
        <f t="shared" si="13"/>
        <v>5.010732158907035</v>
      </c>
      <c r="L154" s="3">
        <f t="shared" si="16"/>
        <v>-8.2095588189501356E-3</v>
      </c>
      <c r="M154" s="3">
        <f t="shared" si="14"/>
        <v>4.4264832710775028</v>
      </c>
      <c r="N154" s="3">
        <f t="shared" si="17"/>
        <v>3.5037034100495745E-3</v>
      </c>
    </row>
    <row r="155" spans="2:14" x14ac:dyDescent="0.3">
      <c r="B155" s="3" t="s">
        <v>182</v>
      </c>
      <c r="C155" s="3">
        <v>-1.5149453745680801</v>
      </c>
      <c r="D155" s="3">
        <v>151.15084900171399</v>
      </c>
      <c r="E155" s="3">
        <v>83.721944719701895</v>
      </c>
      <c r="F155" s="3">
        <v>45.48</v>
      </c>
      <c r="H155" s="3">
        <f t="shared" si="12"/>
        <v>3.8172726688823353</v>
      </c>
      <c r="I155" s="3">
        <f t="shared" si="15"/>
        <v>5.9100388272449678E-2</v>
      </c>
      <c r="J155" s="3">
        <v>-1.5149453745680801</v>
      </c>
      <c r="K155" s="3">
        <f t="shared" si="13"/>
        <v>5.0182783381578497</v>
      </c>
      <c r="L155" s="3">
        <f t="shared" si="16"/>
        <v>7.5461792508146885E-3</v>
      </c>
      <c r="M155" s="3">
        <f t="shared" si="14"/>
        <v>4.427501126162551</v>
      </c>
      <c r="N155" s="3">
        <f t="shared" si="17"/>
        <v>1.0178550850481471E-3</v>
      </c>
    </row>
    <row r="156" spans="2:14" x14ac:dyDescent="0.3">
      <c r="B156" s="3" t="s">
        <v>183</v>
      </c>
      <c r="C156" s="3">
        <v>1.3070008682752501</v>
      </c>
      <c r="D156" s="3">
        <v>153.22867535761901</v>
      </c>
      <c r="E156" s="3">
        <v>83.946777558040196</v>
      </c>
      <c r="F156" s="3">
        <v>46.22</v>
      </c>
      <c r="H156" s="3">
        <f t="shared" si="12"/>
        <v>3.8334126048462345</v>
      </c>
      <c r="I156" s="3">
        <f t="shared" si="15"/>
        <v>1.6139935963899177E-2</v>
      </c>
      <c r="J156" s="3">
        <v>1.3070008682752501</v>
      </c>
      <c r="K156" s="3">
        <f t="shared" si="13"/>
        <v>5.0319314157548263</v>
      </c>
      <c r="L156" s="3">
        <f t="shared" si="16"/>
        <v>1.3653077596976537E-2</v>
      </c>
      <c r="M156" s="3">
        <f t="shared" si="14"/>
        <v>4.4301829975341693</v>
      </c>
      <c r="N156" s="3">
        <f t="shared" si="17"/>
        <v>2.6818713716183495E-3</v>
      </c>
    </row>
    <row r="157" spans="2:14" x14ac:dyDescent="0.3">
      <c r="B157" s="3" t="s">
        <v>184</v>
      </c>
      <c r="C157" s="3">
        <v>1.44242414271916</v>
      </c>
      <c r="D157" s="3">
        <v>152.47349347342501</v>
      </c>
      <c r="E157" s="3">
        <v>84.368404264459897</v>
      </c>
      <c r="F157" s="3">
        <v>42.44</v>
      </c>
      <c r="H157" s="3">
        <f t="shared" si="12"/>
        <v>3.7480913137457823</v>
      </c>
      <c r="I157" s="3">
        <f t="shared" si="15"/>
        <v>-8.5321291100452168E-2</v>
      </c>
      <c r="J157" s="3">
        <v>1.44242414271916</v>
      </c>
      <c r="K157" s="3">
        <f t="shared" si="13"/>
        <v>5.0269907676511698</v>
      </c>
      <c r="L157" s="3">
        <f t="shared" si="16"/>
        <v>-4.9406481036564642E-3</v>
      </c>
      <c r="M157" s="3">
        <f t="shared" si="14"/>
        <v>4.4351929744566538</v>
      </c>
      <c r="N157" s="3">
        <f t="shared" si="17"/>
        <v>5.0099769224845048E-3</v>
      </c>
    </row>
    <row r="158" spans="2:14" x14ac:dyDescent="0.3">
      <c r="B158" s="3" t="s">
        <v>185</v>
      </c>
      <c r="C158" s="3">
        <v>0.15208974627729199</v>
      </c>
      <c r="D158" s="3">
        <v>154.984924135613</v>
      </c>
      <c r="E158" s="3">
        <v>84.695439639387203</v>
      </c>
      <c r="F158" s="3">
        <v>37.19</v>
      </c>
      <c r="H158" s="3">
        <f t="shared" si="12"/>
        <v>3.6160399079369787</v>
      </c>
      <c r="I158" s="3">
        <f t="shared" si="15"/>
        <v>-0.13205140580880359</v>
      </c>
      <c r="J158" s="3">
        <v>0.15208974627729199</v>
      </c>
      <c r="K158" s="3">
        <f t="shared" si="13"/>
        <v>5.0433278485476256</v>
      </c>
      <c r="L158" s="3">
        <f t="shared" si="16"/>
        <v>1.6337080896455802E-2</v>
      </c>
      <c r="M158" s="3">
        <f t="shared" si="14"/>
        <v>4.4390617588789629</v>
      </c>
      <c r="N158" s="3">
        <f t="shared" si="17"/>
        <v>3.8687844223090906E-3</v>
      </c>
    </row>
    <row r="159" spans="2:14" x14ac:dyDescent="0.3">
      <c r="B159" s="3" t="s">
        <v>186</v>
      </c>
      <c r="C159" s="3">
        <v>5.6285191136636901E-2</v>
      </c>
      <c r="D159" s="3">
        <v>153.92319456798899</v>
      </c>
      <c r="E159" s="3">
        <v>85.088525620195895</v>
      </c>
      <c r="F159" s="3">
        <v>31.68</v>
      </c>
      <c r="H159" s="3">
        <f t="shared" si="12"/>
        <v>3.455685566946225</v>
      </c>
      <c r="I159" s="3">
        <f t="shared" si="15"/>
        <v>-0.16035434099075374</v>
      </c>
      <c r="J159" s="3">
        <v>5.6285191136636901E-2</v>
      </c>
      <c r="K159" s="3">
        <f t="shared" si="13"/>
        <v>5.0364537414316777</v>
      </c>
      <c r="L159" s="3">
        <f t="shared" si="16"/>
        <v>-6.8741071159479361E-3</v>
      </c>
      <c r="M159" s="3">
        <f t="shared" si="14"/>
        <v>4.4436921924131436</v>
      </c>
      <c r="N159" s="3">
        <f t="shared" si="17"/>
        <v>4.630433534180689E-3</v>
      </c>
    </row>
    <row r="160" spans="2:14" x14ac:dyDescent="0.3">
      <c r="B160" s="3" t="s">
        <v>187</v>
      </c>
      <c r="C160" s="3">
        <v>3.1876126654266201</v>
      </c>
      <c r="D160" s="3">
        <v>155.876779665724</v>
      </c>
      <c r="E160" s="3">
        <v>85.215443176454201</v>
      </c>
      <c r="F160" s="3">
        <v>30.32</v>
      </c>
      <c r="H160" s="3">
        <f t="shared" si="12"/>
        <v>3.4118075607741711</v>
      </c>
      <c r="I160" s="3">
        <f t="shared" si="15"/>
        <v>-4.3878006172053841E-2</v>
      </c>
      <c r="J160" s="3">
        <v>3.1876126654266201</v>
      </c>
      <c r="K160" s="3">
        <f t="shared" si="13"/>
        <v>5.0490658211970869</v>
      </c>
      <c r="L160" s="3">
        <f t="shared" si="16"/>
        <v>1.2612079765409234E-2</v>
      </c>
      <c r="M160" s="3">
        <f t="shared" si="14"/>
        <v>4.4451826753496375</v>
      </c>
      <c r="N160" s="3">
        <f t="shared" si="17"/>
        <v>1.4904829364938976E-3</v>
      </c>
    </row>
    <row r="161" spans="2:14" x14ac:dyDescent="0.3">
      <c r="B161" s="3" t="s">
        <v>188</v>
      </c>
      <c r="C161" s="3">
        <v>-2.0550813293226202</v>
      </c>
      <c r="D161" s="3">
        <v>157.79552763875299</v>
      </c>
      <c r="E161" s="3">
        <v>85.284670388759295</v>
      </c>
      <c r="F161" s="3">
        <v>37.549999999999997</v>
      </c>
      <c r="H161" s="3">
        <f t="shared" si="12"/>
        <v>3.6256733782101436</v>
      </c>
      <c r="I161" s="3">
        <f t="shared" si="15"/>
        <v>0.21386581743597244</v>
      </c>
      <c r="J161" s="3">
        <v>-2.0550813293226202</v>
      </c>
      <c r="K161" s="3">
        <f t="shared" si="13"/>
        <v>5.0613000660503928</v>
      </c>
      <c r="L161" s="3">
        <f t="shared" si="16"/>
        <v>1.2234244853305931E-2</v>
      </c>
      <c r="M161" s="3">
        <f t="shared" si="14"/>
        <v>4.4459947242645823</v>
      </c>
      <c r="N161" s="3">
        <f t="shared" si="17"/>
        <v>8.1204891494479625E-4</v>
      </c>
    </row>
    <row r="162" spans="2:14" x14ac:dyDescent="0.3">
      <c r="B162" s="3" t="s">
        <v>189</v>
      </c>
      <c r="C162" s="3">
        <v>-1.75453155848371</v>
      </c>
      <c r="D162" s="3">
        <v>155.13450861016199</v>
      </c>
      <c r="E162" s="3">
        <v>85.331601486517101</v>
      </c>
      <c r="F162" s="3">
        <v>40.75</v>
      </c>
      <c r="H162" s="3">
        <f t="shared" si="12"/>
        <v>3.7074558396868715</v>
      </c>
      <c r="I162" s="3">
        <f t="shared" si="15"/>
        <v>8.1782461476727963E-2</v>
      </c>
      <c r="J162" s="3">
        <v>-1.75453155848371</v>
      </c>
      <c r="K162" s="3">
        <f t="shared" si="13"/>
        <v>5.0442925380856218</v>
      </c>
      <c r="L162" s="3">
        <f t="shared" si="16"/>
        <v>-1.7007527964771008E-2</v>
      </c>
      <c r="M162" s="3">
        <f t="shared" si="14"/>
        <v>4.446544860525627</v>
      </c>
      <c r="N162" s="3">
        <f t="shared" si="17"/>
        <v>5.5013626104472024E-4</v>
      </c>
    </row>
    <row r="163" spans="2:14" x14ac:dyDescent="0.3">
      <c r="B163" s="3" t="s">
        <v>190</v>
      </c>
      <c r="C163" s="3">
        <v>0.35092576451204199</v>
      </c>
      <c r="D163" s="3">
        <v>154.45503381396</v>
      </c>
      <c r="E163" s="3">
        <v>85.608374108105806</v>
      </c>
      <c r="F163" s="3">
        <v>46.71</v>
      </c>
      <c r="H163" s="3">
        <f t="shared" si="12"/>
        <v>3.8439582745140166</v>
      </c>
      <c r="I163" s="3">
        <f t="shared" si="15"/>
        <v>0.13650243482714508</v>
      </c>
      <c r="J163" s="3">
        <v>0.35092576451204199</v>
      </c>
      <c r="K163" s="3">
        <f t="shared" si="13"/>
        <v>5.0399030107011464</v>
      </c>
      <c r="L163" s="3">
        <f t="shared" si="16"/>
        <v>-4.3895273844754001E-3</v>
      </c>
      <c r="M163" s="3">
        <f t="shared" si="14"/>
        <v>4.4497831067285363</v>
      </c>
      <c r="N163" s="3">
        <f t="shared" si="17"/>
        <v>3.2382462029092451E-3</v>
      </c>
    </row>
    <row r="164" spans="2:14" x14ac:dyDescent="0.3">
      <c r="B164" s="3" t="s">
        <v>191</v>
      </c>
      <c r="C164" s="3">
        <v>-0.81803009057276599</v>
      </c>
      <c r="D164" s="3">
        <v>155.862644549175</v>
      </c>
      <c r="E164" s="3">
        <v>85.840980541571199</v>
      </c>
      <c r="F164" s="3">
        <v>48.76</v>
      </c>
      <c r="H164" s="3">
        <f t="shared" si="12"/>
        <v>3.8869103046130706</v>
      </c>
      <c r="I164" s="3">
        <f t="shared" si="15"/>
        <v>4.2952030099054017E-2</v>
      </c>
      <c r="J164" s="3">
        <v>-0.81803009057276599</v>
      </c>
      <c r="K164" s="3">
        <f t="shared" si="13"/>
        <v>5.048975135736983</v>
      </c>
      <c r="L164" s="3">
        <f t="shared" si="16"/>
        <v>9.0721250358365424E-3</v>
      </c>
      <c r="M164" s="3">
        <f t="shared" si="14"/>
        <v>4.4524965211552825</v>
      </c>
      <c r="N164" s="3">
        <f t="shared" si="17"/>
        <v>2.713414426746219E-3</v>
      </c>
    </row>
    <row r="165" spans="2:14" x14ac:dyDescent="0.3">
      <c r="B165" s="3" t="s">
        <v>192</v>
      </c>
      <c r="C165" s="3">
        <v>-0.80176812809044296</v>
      </c>
      <c r="D165" s="3">
        <v>157.797839021832</v>
      </c>
      <c r="E165" s="3">
        <v>85.816259632632296</v>
      </c>
      <c r="F165" s="3">
        <v>44.65</v>
      </c>
      <c r="H165" s="3">
        <f t="shared" si="12"/>
        <v>3.7988543073225078</v>
      </c>
      <c r="I165" s="3">
        <f t="shared" si="15"/>
        <v>-8.8055997290562793E-2</v>
      </c>
      <c r="J165" s="3">
        <v>-0.80176812809044296</v>
      </c>
      <c r="K165" s="3">
        <f t="shared" si="13"/>
        <v>5.0613147139062935</v>
      </c>
      <c r="L165" s="3">
        <f t="shared" si="16"/>
        <v>1.2339578169310528E-2</v>
      </c>
      <c r="M165" s="3">
        <f t="shared" si="14"/>
        <v>4.452208494747719</v>
      </c>
      <c r="N165" s="3">
        <f t="shared" si="17"/>
        <v>-2.8802640756353526E-4</v>
      </c>
    </row>
    <row r="166" spans="2:14" x14ac:dyDescent="0.3">
      <c r="B166" s="3" t="s">
        <v>193</v>
      </c>
      <c r="C166" s="3">
        <v>1.4179436335506901</v>
      </c>
      <c r="D166" s="3">
        <v>157.99168476262699</v>
      </c>
      <c r="E166" s="3">
        <v>86.094567252378994</v>
      </c>
      <c r="F166" s="3">
        <v>44.72</v>
      </c>
      <c r="H166" s="3">
        <f t="shared" si="12"/>
        <v>3.8004208288468435</v>
      </c>
      <c r="I166" s="3">
        <f t="shared" si="15"/>
        <v>1.5665215243356734E-3</v>
      </c>
      <c r="J166" s="3">
        <v>1.4179436335506901</v>
      </c>
      <c r="K166" s="3">
        <f t="shared" si="13"/>
        <v>5.0625424035574209</v>
      </c>
      <c r="L166" s="3">
        <f t="shared" si="16"/>
        <v>1.227689651127406E-3</v>
      </c>
      <c r="M166" s="3">
        <f t="shared" si="14"/>
        <v>4.4554463113288501</v>
      </c>
      <c r="N166" s="3">
        <f t="shared" si="17"/>
        <v>3.2378165811310922E-3</v>
      </c>
    </row>
    <row r="167" spans="2:14" x14ac:dyDescent="0.3">
      <c r="B167" s="3" t="s">
        <v>194</v>
      </c>
      <c r="C167" s="3">
        <v>1.2605748295124899</v>
      </c>
      <c r="D167" s="3">
        <v>157.70671451888501</v>
      </c>
      <c r="E167" s="3">
        <v>86.340573250528394</v>
      </c>
      <c r="F167" s="3">
        <v>45.18</v>
      </c>
      <c r="H167" s="3">
        <f t="shared" si="12"/>
        <v>3.8106545110398571</v>
      </c>
      <c r="I167" s="3">
        <f t="shared" si="15"/>
        <v>1.0233682193013571E-2</v>
      </c>
      <c r="J167" s="3">
        <v>1.2605748295124899</v>
      </c>
      <c r="K167" s="3">
        <f t="shared" si="13"/>
        <v>5.0607370708614745</v>
      </c>
      <c r="L167" s="3">
        <f t="shared" si="16"/>
        <v>-1.8053326959464044E-3</v>
      </c>
      <c r="M167" s="3">
        <f t="shared" si="14"/>
        <v>4.4582996295601012</v>
      </c>
      <c r="N167" s="3">
        <f t="shared" si="17"/>
        <v>2.8533182312511229E-3</v>
      </c>
    </row>
    <row r="168" spans="2:14" x14ac:dyDescent="0.3">
      <c r="B168" s="3" t="s">
        <v>195</v>
      </c>
      <c r="C168" s="3">
        <v>-0.89756705562199102</v>
      </c>
      <c r="D168" s="3">
        <v>156.569962598123</v>
      </c>
      <c r="E168" s="3">
        <v>86.811630024547199</v>
      </c>
      <c r="F168" s="3">
        <v>49.78</v>
      </c>
      <c r="H168" s="3">
        <f t="shared" si="12"/>
        <v>3.9076132969394459</v>
      </c>
      <c r="I168" s="3">
        <f t="shared" si="15"/>
        <v>9.695878589958884E-2</v>
      </c>
      <c r="J168" s="3">
        <v>-0.89756705562199102</v>
      </c>
      <c r="K168" s="3">
        <f t="shared" si="13"/>
        <v>5.0535029554406226</v>
      </c>
      <c r="L168" s="3">
        <f t="shared" si="16"/>
        <v>-7.2341154208519498E-3</v>
      </c>
      <c r="M168" s="3">
        <f t="shared" si="14"/>
        <v>4.4637405991488377</v>
      </c>
      <c r="N168" s="3">
        <f t="shared" si="17"/>
        <v>5.4409695887365217E-3</v>
      </c>
    </row>
    <row r="169" spans="2:14" x14ac:dyDescent="0.3">
      <c r="B169" s="3" t="s">
        <v>196</v>
      </c>
      <c r="C169" s="3">
        <v>-1.31983656622528</v>
      </c>
      <c r="D169" s="3">
        <v>157.84469687939199</v>
      </c>
      <c r="E169" s="3">
        <v>87.194867970113293</v>
      </c>
      <c r="F169" s="3">
        <v>45.66</v>
      </c>
      <c r="H169" s="3">
        <f t="shared" si="12"/>
        <v>3.8212226411016492</v>
      </c>
      <c r="I169" s="3">
        <f t="shared" si="15"/>
        <v>-8.6390655837796704E-2</v>
      </c>
      <c r="J169" s="3">
        <v>-1.31983656622528</v>
      </c>
      <c r="K169" s="3">
        <f t="shared" si="13"/>
        <v>5.0616116184902742</v>
      </c>
      <c r="L169" s="3">
        <f t="shared" si="16"/>
        <v>8.1086630496516321E-3</v>
      </c>
      <c r="M169" s="3">
        <f t="shared" si="14"/>
        <v>4.4681454756292487</v>
      </c>
      <c r="N169" s="3">
        <f t="shared" si="17"/>
        <v>4.4048764804109908E-3</v>
      </c>
    </row>
    <row r="170" spans="2:14" x14ac:dyDescent="0.3">
      <c r="B170" s="3" t="s">
        <v>197</v>
      </c>
      <c r="C170" s="3">
        <v>-1.55701549701071</v>
      </c>
      <c r="D170" s="3">
        <v>159.8844155013</v>
      </c>
      <c r="E170" s="3">
        <v>87.430742402862407</v>
      </c>
      <c r="F170" s="3">
        <v>51.97</v>
      </c>
      <c r="H170" s="3">
        <f t="shared" si="12"/>
        <v>3.9506666290203505</v>
      </c>
      <c r="I170" s="3">
        <f t="shared" si="15"/>
        <v>0.12944398791870126</v>
      </c>
      <c r="J170" s="3">
        <v>-1.55701549701071</v>
      </c>
      <c r="K170" s="3">
        <f t="shared" si="13"/>
        <v>5.0744511510580859</v>
      </c>
      <c r="L170" s="3">
        <f t="shared" si="16"/>
        <v>1.2839532567811673E-2</v>
      </c>
      <c r="M170" s="3">
        <f t="shared" si="14"/>
        <v>4.4708469645540072</v>
      </c>
      <c r="N170" s="3">
        <f t="shared" si="17"/>
        <v>2.7014889247585216E-3</v>
      </c>
    </row>
    <row r="171" spans="2:14" x14ac:dyDescent="0.3">
      <c r="B171" s="3" t="s">
        <v>198</v>
      </c>
      <c r="C171" s="3">
        <v>-0.78361163157023295</v>
      </c>
      <c r="D171" s="3">
        <v>160.60231256535801</v>
      </c>
      <c r="E171" s="3">
        <v>87.722808984936194</v>
      </c>
      <c r="F171" s="3">
        <v>52.5</v>
      </c>
      <c r="H171" s="3">
        <f t="shared" si="12"/>
        <v>3.9608131695975781</v>
      </c>
      <c r="I171" s="3">
        <f t="shared" si="15"/>
        <v>1.0146540577227636E-2</v>
      </c>
      <c r="J171" s="3">
        <v>-0.78361163157023295</v>
      </c>
      <c r="K171" s="3">
        <f t="shared" si="13"/>
        <v>5.0789312009442193</v>
      </c>
      <c r="L171" s="3">
        <f t="shared" si="16"/>
        <v>4.4800498861334859E-3</v>
      </c>
      <c r="M171" s="3">
        <f t="shared" si="14"/>
        <v>4.4741819452090841</v>
      </c>
      <c r="N171" s="3">
        <f t="shared" si="17"/>
        <v>3.334980655076869E-3</v>
      </c>
    </row>
    <row r="172" spans="2:14" x14ac:dyDescent="0.3">
      <c r="B172" s="3" t="s">
        <v>199</v>
      </c>
      <c r="C172" s="3">
        <v>-1.7803286751341401</v>
      </c>
      <c r="D172" s="3">
        <v>160.10091583226901</v>
      </c>
      <c r="E172" s="3">
        <v>87.988467066959998</v>
      </c>
      <c r="F172" s="3">
        <v>53.47</v>
      </c>
      <c r="H172" s="3">
        <f t="shared" si="12"/>
        <v>3.9791207489606402</v>
      </c>
      <c r="I172" s="3">
        <f t="shared" si="15"/>
        <v>1.8307579363062043E-2</v>
      </c>
      <c r="J172" s="3">
        <v>-1.7803286751341401</v>
      </c>
      <c r="K172" s="3">
        <f t="shared" si="13"/>
        <v>5.0758043403627537</v>
      </c>
      <c r="L172" s="3">
        <f t="shared" si="16"/>
        <v>-3.126860581465607E-3</v>
      </c>
      <c r="M172" s="3">
        <f t="shared" si="14"/>
        <v>4.4772057498323381</v>
      </c>
      <c r="N172" s="3">
        <f t="shared" si="17"/>
        <v>3.0238046232540228E-3</v>
      </c>
    </row>
    <row r="173" spans="2:14" x14ac:dyDescent="0.3">
      <c r="B173" s="3" t="s">
        <v>200</v>
      </c>
      <c r="C173" s="3">
        <v>-1.30023672957012</v>
      </c>
      <c r="D173" s="3">
        <v>157.507640365502</v>
      </c>
      <c r="E173" s="3">
        <v>88.666278397319104</v>
      </c>
      <c r="F173" s="3">
        <v>49.33</v>
      </c>
      <c r="H173" s="3">
        <f t="shared" si="12"/>
        <v>3.8985324152456466</v>
      </c>
      <c r="I173" s="3">
        <f t="shared" si="15"/>
        <v>-8.0588333714993521E-2</v>
      </c>
      <c r="J173" s="3">
        <v>-1.30023672957012</v>
      </c>
      <c r="K173" s="3">
        <f t="shared" si="13"/>
        <v>5.0594739673462588</v>
      </c>
      <c r="L173" s="3">
        <f t="shared" si="16"/>
        <v>-1.6330373016494981E-2</v>
      </c>
      <c r="M173" s="3">
        <f t="shared" si="14"/>
        <v>4.4848796411263976</v>
      </c>
      <c r="N173" s="3">
        <f t="shared" si="17"/>
        <v>7.6738912940594872E-3</v>
      </c>
    </row>
    <row r="174" spans="2:14" x14ac:dyDescent="0.3">
      <c r="B174" s="3" t="s">
        <v>201</v>
      </c>
      <c r="C174" s="3">
        <v>0.40329262225623003</v>
      </c>
      <c r="D174" s="3">
        <v>158.90353062338201</v>
      </c>
      <c r="E174" s="3">
        <v>88.482024060478295</v>
      </c>
      <c r="F174" s="3">
        <v>51.06</v>
      </c>
      <c r="H174" s="3">
        <f t="shared" si="12"/>
        <v>3.9330014118133376</v>
      </c>
      <c r="I174" s="3">
        <f t="shared" si="15"/>
        <v>3.4468996567690979E-2</v>
      </c>
      <c r="J174" s="3">
        <v>0.40329262225623003</v>
      </c>
      <c r="K174" s="3">
        <f t="shared" si="13"/>
        <v>5.0682972924486416</v>
      </c>
      <c r="L174" s="3">
        <f t="shared" si="16"/>
        <v>8.8233251023828174E-3</v>
      </c>
      <c r="M174" s="3">
        <f t="shared" si="14"/>
        <v>4.4827994134219402</v>
      </c>
      <c r="N174" s="3">
        <f t="shared" si="17"/>
        <v>-2.0802277044573714E-3</v>
      </c>
    </row>
    <row r="175" spans="2:14" x14ac:dyDescent="0.3">
      <c r="B175" s="3" t="s">
        <v>202</v>
      </c>
      <c r="C175" s="3">
        <v>1.3610838718613401</v>
      </c>
      <c r="D175" s="3">
        <v>159.817930400054</v>
      </c>
      <c r="E175" s="3">
        <v>88.212497594715202</v>
      </c>
      <c r="F175" s="3">
        <v>48.48</v>
      </c>
      <c r="H175" s="3">
        <f t="shared" si="12"/>
        <v>3.881151341761059</v>
      </c>
      <c r="I175" s="3">
        <f t="shared" si="15"/>
        <v>-5.1850070052278596E-2</v>
      </c>
      <c r="J175" s="3">
        <v>1.3610838718613401</v>
      </c>
      <c r="K175" s="3">
        <f t="shared" si="13"/>
        <v>5.0740352322945439</v>
      </c>
      <c r="L175" s="3">
        <f t="shared" si="16"/>
        <v>5.7379398459023179E-3</v>
      </c>
      <c r="M175" s="3">
        <f t="shared" si="14"/>
        <v>4.47974864906001</v>
      </c>
      <c r="N175" s="3">
        <f t="shared" si="17"/>
        <v>-3.0507643619301916E-3</v>
      </c>
    </row>
    <row r="176" spans="2:14" x14ac:dyDescent="0.3">
      <c r="B176" s="3" t="s">
        <v>203</v>
      </c>
      <c r="C176" s="3">
        <v>0.67368059031850902</v>
      </c>
      <c r="D176" s="3">
        <v>162.19256813113401</v>
      </c>
      <c r="E176" s="3">
        <v>88.191935103231998</v>
      </c>
      <c r="F176" s="3">
        <v>45.18</v>
      </c>
      <c r="H176" s="3">
        <f t="shared" si="12"/>
        <v>3.8106545110398571</v>
      </c>
      <c r="I176" s="3">
        <f t="shared" si="15"/>
        <v>-7.0496830721201942E-2</v>
      </c>
      <c r="J176" s="3">
        <v>0.67368059031850902</v>
      </c>
      <c r="K176" s="3">
        <f t="shared" si="13"/>
        <v>5.0887843214647148</v>
      </c>
      <c r="L176" s="3">
        <f t="shared" si="16"/>
        <v>1.4749089170170926E-2</v>
      </c>
      <c r="M176" s="3">
        <f t="shared" si="14"/>
        <v>4.4795155200931029</v>
      </c>
      <c r="N176" s="3">
        <f t="shared" si="17"/>
        <v>-2.3312896690708129E-4</v>
      </c>
    </row>
    <row r="177" spans="2:14" x14ac:dyDescent="0.3">
      <c r="B177" s="3" t="s">
        <v>204</v>
      </c>
      <c r="C177" s="3">
        <v>6.4622595670036295E-2</v>
      </c>
      <c r="D177" s="3">
        <v>161.12350110167799</v>
      </c>
      <c r="E177" s="3">
        <v>88.262657850346798</v>
      </c>
      <c r="F177" s="3">
        <v>46.63</v>
      </c>
      <c r="H177" s="3">
        <f t="shared" si="12"/>
        <v>3.8422441108202294</v>
      </c>
      <c r="I177" s="3">
        <f t="shared" si="15"/>
        <v>3.1589599780372346E-2</v>
      </c>
      <c r="J177" s="3">
        <v>6.4622595670036295E-2</v>
      </c>
      <c r="K177" s="3">
        <f t="shared" si="13"/>
        <v>5.0821711585112119</v>
      </c>
      <c r="L177" s="3">
        <f t="shared" si="16"/>
        <v>-6.6131629535028935E-3</v>
      </c>
      <c r="M177" s="3">
        <f t="shared" si="14"/>
        <v>4.480317117260034</v>
      </c>
      <c r="N177" s="3">
        <f t="shared" si="17"/>
        <v>8.0159716693106731E-4</v>
      </c>
    </row>
    <row r="178" spans="2:14" x14ac:dyDescent="0.3">
      <c r="B178" s="3" t="s">
        <v>205</v>
      </c>
      <c r="C178" s="3">
        <v>0.62948086283315097</v>
      </c>
      <c r="D178" s="3">
        <v>162.337112131564</v>
      </c>
      <c r="E178" s="3">
        <v>88.820171325256396</v>
      </c>
      <c r="F178" s="3">
        <v>48.04</v>
      </c>
      <c r="H178" s="3">
        <f t="shared" si="12"/>
        <v>3.872033997211783</v>
      </c>
      <c r="I178" s="3">
        <f t="shared" si="15"/>
        <v>2.9789886391553555E-2</v>
      </c>
      <c r="J178" s="3">
        <v>0.62948086283315097</v>
      </c>
      <c r="K178" s="3">
        <f t="shared" si="13"/>
        <v>5.089675112161399</v>
      </c>
      <c r="L178" s="3">
        <f t="shared" si="16"/>
        <v>7.5039536501870785E-3</v>
      </c>
      <c r="M178" s="3">
        <f t="shared" si="14"/>
        <v>4.4866137787661309</v>
      </c>
      <c r="N178" s="3">
        <f t="shared" si="17"/>
        <v>6.2966615060968678E-3</v>
      </c>
    </row>
    <row r="179" spans="2:14" x14ac:dyDescent="0.3">
      <c r="B179" s="3" t="s">
        <v>206</v>
      </c>
      <c r="C179" s="3">
        <v>1.41591746571085</v>
      </c>
      <c r="D179" s="3">
        <v>163.24854610412899</v>
      </c>
      <c r="E179" s="3">
        <v>88.880660219029295</v>
      </c>
      <c r="F179" s="3">
        <v>49.82</v>
      </c>
      <c r="H179" s="3">
        <f t="shared" si="12"/>
        <v>3.9084165098340344</v>
      </c>
      <c r="I179" s="3">
        <f t="shared" si="15"/>
        <v>3.6382512622251451E-2</v>
      </c>
      <c r="J179" s="3">
        <v>1.41591746571085</v>
      </c>
      <c r="K179" s="3">
        <f t="shared" si="13"/>
        <v>5.0952738621697398</v>
      </c>
      <c r="L179" s="3">
        <f t="shared" si="16"/>
        <v>5.5987500083407582E-3</v>
      </c>
      <c r="M179" s="3">
        <f t="shared" si="14"/>
        <v>4.4872945735106855</v>
      </c>
      <c r="N179" s="3">
        <f t="shared" si="17"/>
        <v>6.8079474455462474E-4</v>
      </c>
    </row>
    <row r="180" spans="2:14" x14ac:dyDescent="0.3">
      <c r="B180" s="3" t="s">
        <v>207</v>
      </c>
      <c r="C180" s="3">
        <v>-0.21688285837212901</v>
      </c>
      <c r="D180" s="3">
        <v>161.62771974803201</v>
      </c>
      <c r="E180" s="3">
        <v>88.587393803532194</v>
      </c>
      <c r="F180" s="3">
        <v>51.58</v>
      </c>
      <c r="H180" s="3">
        <f t="shared" si="12"/>
        <v>3.9431340004531985</v>
      </c>
      <c r="I180" s="3">
        <f t="shared" si="15"/>
        <v>3.4717490619164071E-2</v>
      </c>
      <c r="J180" s="3">
        <v>-0.21688285837212901</v>
      </c>
      <c r="K180" s="3">
        <f t="shared" si="13"/>
        <v>5.0852956644711336</v>
      </c>
      <c r="L180" s="3">
        <f t="shared" si="16"/>
        <v>-9.9781976986061949E-3</v>
      </c>
      <c r="M180" s="3">
        <f t="shared" si="14"/>
        <v>4.4839895653607966</v>
      </c>
      <c r="N180" s="3">
        <f t="shared" si="17"/>
        <v>-3.3050081498888773E-3</v>
      </c>
    </row>
    <row r="181" spans="2:14" x14ac:dyDescent="0.3">
      <c r="B181" s="3" t="s">
        <v>208</v>
      </c>
      <c r="C181" s="3">
        <v>-0.27950808867759203</v>
      </c>
      <c r="D181" s="3">
        <v>160.943041713312</v>
      </c>
      <c r="E181" s="3">
        <v>88.542299652212805</v>
      </c>
      <c r="F181" s="3">
        <v>56.64</v>
      </c>
      <c r="H181" s="3">
        <f t="shared" si="12"/>
        <v>4.036715449385464</v>
      </c>
      <c r="I181" s="3">
        <f t="shared" si="15"/>
        <v>9.3581448932265499E-2</v>
      </c>
      <c r="J181" s="3">
        <v>-0.27950808867759203</v>
      </c>
      <c r="K181" s="3">
        <f t="shared" si="13"/>
        <v>5.0810505242120136</v>
      </c>
      <c r="L181" s="3">
        <f t="shared" si="16"/>
        <v>-4.2451402591199283E-3</v>
      </c>
      <c r="M181" s="3">
        <f t="shared" si="14"/>
        <v>4.4834803999982444</v>
      </c>
      <c r="N181" s="3">
        <f t="shared" si="17"/>
        <v>-5.0916536255218858E-4</v>
      </c>
    </row>
    <row r="182" spans="2:14" x14ac:dyDescent="0.3">
      <c r="B182" s="3" t="s">
        <v>209</v>
      </c>
      <c r="C182" s="3">
        <v>0.50854456368470202</v>
      </c>
      <c r="D182" s="3">
        <v>162.821064920569</v>
      </c>
      <c r="E182" s="3">
        <v>88.620207060920706</v>
      </c>
      <c r="F182" s="3">
        <v>57.88</v>
      </c>
      <c r="H182" s="3">
        <f t="shared" si="12"/>
        <v>4.0583719017632829</v>
      </c>
      <c r="I182" s="3">
        <f t="shared" si="15"/>
        <v>2.165645237781888E-2</v>
      </c>
      <c r="J182" s="3">
        <v>0.50854456368470202</v>
      </c>
      <c r="K182" s="3">
        <f t="shared" si="13"/>
        <v>5.092651836602081</v>
      </c>
      <c r="L182" s="3">
        <f t="shared" si="16"/>
        <v>1.1601312390067342E-2</v>
      </c>
      <c r="M182" s="3">
        <f t="shared" si="14"/>
        <v>4.4843599022718941</v>
      </c>
      <c r="N182" s="3">
        <f t="shared" si="17"/>
        <v>8.7950227364963496E-4</v>
      </c>
    </row>
    <row r="183" spans="2:14" x14ac:dyDescent="0.3">
      <c r="B183" s="3" t="s">
        <v>210</v>
      </c>
      <c r="C183" s="3">
        <v>1.3287071184325101</v>
      </c>
      <c r="D183" s="3">
        <v>165.26126464281401</v>
      </c>
      <c r="E183" s="3">
        <v>88.823701902363297</v>
      </c>
      <c r="F183" s="3">
        <v>63.7</v>
      </c>
      <c r="H183" s="3">
        <f t="shared" si="12"/>
        <v>4.1541845625781173</v>
      </c>
      <c r="I183" s="3">
        <f t="shared" si="15"/>
        <v>9.5812660814834416E-2</v>
      </c>
      <c r="J183" s="3">
        <v>1.3287071184325101</v>
      </c>
      <c r="K183" s="3">
        <f t="shared" si="13"/>
        <v>5.1075276436872654</v>
      </c>
      <c r="L183" s="3">
        <f t="shared" si="16"/>
        <v>1.4875807085184434E-2</v>
      </c>
      <c r="M183" s="3">
        <f t="shared" si="14"/>
        <v>4.4866535276980049</v>
      </c>
      <c r="N183" s="3">
        <f t="shared" si="17"/>
        <v>2.2936254261107791E-3</v>
      </c>
    </row>
    <row r="184" spans="2:14" x14ac:dyDescent="0.3">
      <c r="B184" s="3" t="s">
        <v>211</v>
      </c>
      <c r="C184" s="3">
        <v>2.3352122245457498</v>
      </c>
      <c r="D184" s="3">
        <v>164.67255910949501</v>
      </c>
      <c r="E184" s="3">
        <v>89.033448759938807</v>
      </c>
      <c r="F184" s="3">
        <v>62.23</v>
      </c>
      <c r="H184" s="3">
        <f t="shared" si="12"/>
        <v>4.1308371985811263</v>
      </c>
      <c r="I184" s="3">
        <f t="shared" si="15"/>
        <v>-2.3347363996991E-2</v>
      </c>
      <c r="J184" s="3">
        <v>2.3352122245457498</v>
      </c>
      <c r="K184" s="3">
        <f t="shared" si="13"/>
        <v>5.1039590119453377</v>
      </c>
      <c r="L184" s="3">
        <f t="shared" si="16"/>
        <v>-3.5686317419276747E-3</v>
      </c>
      <c r="M184" s="3">
        <f t="shared" si="14"/>
        <v>4.4890121278895574</v>
      </c>
      <c r="N184" s="3">
        <f t="shared" si="17"/>
        <v>2.3586001915525401E-3</v>
      </c>
    </row>
    <row r="185" spans="2:14" x14ac:dyDescent="0.3">
      <c r="B185" s="3" t="s">
        <v>212</v>
      </c>
      <c r="C185" s="3">
        <v>-0.94172324691752496</v>
      </c>
      <c r="D185" s="3">
        <v>166.47397544996301</v>
      </c>
      <c r="E185" s="3">
        <v>88.987760235085602</v>
      </c>
      <c r="F185" s="3">
        <v>62.73</v>
      </c>
      <c r="H185" s="3">
        <f t="shared" si="12"/>
        <v>4.1388398021086514</v>
      </c>
      <c r="I185" s="3">
        <f t="shared" si="15"/>
        <v>8.0026035275251317E-3</v>
      </c>
      <c r="J185" s="3">
        <v>-0.94172324691752496</v>
      </c>
      <c r="K185" s="3">
        <f t="shared" si="13"/>
        <v>5.1148389935999914</v>
      </c>
      <c r="L185" s="3">
        <f t="shared" si="16"/>
        <v>1.0879981654653648E-2</v>
      </c>
      <c r="M185" s="3">
        <f t="shared" si="14"/>
        <v>4.4884988348261716</v>
      </c>
      <c r="N185" s="3">
        <f t="shared" si="17"/>
        <v>-5.1329306338576686E-4</v>
      </c>
    </row>
    <row r="186" spans="2:14" x14ac:dyDescent="0.3">
      <c r="B186" s="3" t="s">
        <v>213</v>
      </c>
      <c r="C186" s="3">
        <v>-0.46186057995290503</v>
      </c>
      <c r="D186" s="3">
        <v>169.34546090811</v>
      </c>
      <c r="E186" s="3">
        <v>88.912632215955199</v>
      </c>
      <c r="F186" s="3">
        <v>66.25</v>
      </c>
      <c r="H186" s="3">
        <f t="shared" si="12"/>
        <v>4.1934354648663312</v>
      </c>
      <c r="I186" s="3">
        <f t="shared" si="15"/>
        <v>5.4595662757679797E-2</v>
      </c>
      <c r="J186" s="3">
        <v>-0.46186057995290503</v>
      </c>
      <c r="K186" s="3">
        <f t="shared" si="13"/>
        <v>5.1319407758818985</v>
      </c>
      <c r="L186" s="3">
        <f t="shared" si="16"/>
        <v>1.7101782281907063E-2</v>
      </c>
      <c r="M186" s="3">
        <f t="shared" si="14"/>
        <v>4.4876542270930306</v>
      </c>
      <c r="N186" s="3">
        <f t="shared" si="17"/>
        <v>-8.4460773314098958E-4</v>
      </c>
    </row>
    <row r="187" spans="2:14" x14ac:dyDescent="0.3">
      <c r="B187" s="3" t="s">
        <v>214</v>
      </c>
      <c r="C187" s="3">
        <v>-0.45981793705606799</v>
      </c>
      <c r="D187" s="3">
        <v>170.20825669100901</v>
      </c>
      <c r="E187" s="3">
        <v>89.034525469447004</v>
      </c>
      <c r="F187" s="3">
        <v>69.98</v>
      </c>
      <c r="H187" s="3">
        <f t="shared" si="12"/>
        <v>4.2482094869395421</v>
      </c>
      <c r="I187" s="3">
        <f t="shared" si="15"/>
        <v>5.4774022073210915E-2</v>
      </c>
      <c r="J187" s="3">
        <v>-0.45981793705606799</v>
      </c>
      <c r="K187" s="3">
        <f t="shared" si="13"/>
        <v>5.1370227266606747</v>
      </c>
      <c r="L187" s="3">
        <f t="shared" si="16"/>
        <v>5.0819507787762674E-3</v>
      </c>
      <c r="M187" s="3">
        <f t="shared" si="14"/>
        <v>4.4890242211310607</v>
      </c>
      <c r="N187" s="3">
        <f t="shared" si="17"/>
        <v>1.3699940380300646E-3</v>
      </c>
    </row>
    <row r="188" spans="2:14" x14ac:dyDescent="0.3">
      <c r="B188" s="3" t="s">
        <v>215</v>
      </c>
      <c r="C188" s="3">
        <v>-1.4227975332184699</v>
      </c>
      <c r="D188" s="3">
        <v>166.25166210155999</v>
      </c>
      <c r="E188" s="3">
        <v>89.455922153739294</v>
      </c>
      <c r="F188" s="3">
        <v>67.87</v>
      </c>
      <c r="H188" s="3">
        <f t="shared" si="12"/>
        <v>4.2175941107156669</v>
      </c>
      <c r="I188" s="3">
        <f t="shared" si="15"/>
        <v>-3.0615376223875224E-2</v>
      </c>
      <c r="J188" s="3">
        <v>-1.4227975332184699</v>
      </c>
      <c r="K188" s="3">
        <f t="shared" si="13"/>
        <v>5.1135026770893566</v>
      </c>
      <c r="L188" s="3">
        <f t="shared" si="16"/>
        <v>-2.3520049571318147E-2</v>
      </c>
      <c r="M188" s="3">
        <f t="shared" si="14"/>
        <v>4.4937460140654713</v>
      </c>
      <c r="N188" s="3">
        <f t="shared" si="17"/>
        <v>4.7217929344105514E-3</v>
      </c>
    </row>
    <row r="189" spans="2:14" x14ac:dyDescent="0.3">
      <c r="B189" s="3" t="s">
        <v>216</v>
      </c>
      <c r="C189" s="3">
        <v>-1.5949406928333101</v>
      </c>
      <c r="D189" s="3">
        <v>164.56911562213401</v>
      </c>
      <c r="E189" s="3">
        <v>89.6854564352778</v>
      </c>
      <c r="F189" s="3">
        <v>70.98</v>
      </c>
      <c r="H189" s="3">
        <f t="shared" si="12"/>
        <v>4.2623981472183505</v>
      </c>
      <c r="I189" s="3">
        <f t="shared" si="15"/>
        <v>4.4804036502683608E-2</v>
      </c>
      <c r="J189" s="3">
        <v>-1.5949406928333101</v>
      </c>
      <c r="K189" s="3">
        <f t="shared" si="13"/>
        <v>5.1033306377223653</v>
      </c>
      <c r="L189" s="3">
        <f t="shared" si="16"/>
        <v>-1.0172039366991292E-2</v>
      </c>
      <c r="M189" s="3">
        <f t="shared" si="14"/>
        <v>4.4963086203037186</v>
      </c>
      <c r="N189" s="3">
        <f t="shared" si="17"/>
        <v>2.5626062382473336E-3</v>
      </c>
    </row>
    <row r="190" spans="2:14" x14ac:dyDescent="0.3">
      <c r="B190" s="3" t="s">
        <v>217</v>
      </c>
      <c r="C190" s="3">
        <v>-0.43687185908036702</v>
      </c>
      <c r="D190" s="3">
        <v>165.97125769021599</v>
      </c>
      <c r="E190" s="3">
        <v>89.766602385080802</v>
      </c>
      <c r="F190" s="3">
        <v>68.06</v>
      </c>
      <c r="H190" s="3">
        <f t="shared" si="12"/>
        <v>4.2203896690727598</v>
      </c>
      <c r="I190" s="3">
        <f t="shared" si="15"/>
        <v>-4.2008478145590722E-2</v>
      </c>
      <c r="J190" s="3">
        <v>-0.43687185908036702</v>
      </c>
      <c r="K190" s="3">
        <f t="shared" si="13"/>
        <v>5.1118146269204852</v>
      </c>
      <c r="L190" s="3">
        <f t="shared" si="16"/>
        <v>8.4839891981198789E-3</v>
      </c>
      <c r="M190" s="3">
        <f t="shared" si="14"/>
        <v>4.4972129950527977</v>
      </c>
      <c r="N190" s="3">
        <f t="shared" si="17"/>
        <v>9.0437474907911763E-4</v>
      </c>
    </row>
    <row r="191" spans="2:14" x14ac:dyDescent="0.3">
      <c r="B191" s="3" t="s">
        <v>218</v>
      </c>
      <c r="C191" s="3">
        <v>0.32088663676623302</v>
      </c>
      <c r="D191" s="3">
        <v>167.51147629739901</v>
      </c>
      <c r="E191" s="3">
        <v>90.018443104392404</v>
      </c>
      <c r="F191" s="3">
        <v>70.23</v>
      </c>
      <c r="H191" s="3">
        <f t="shared" si="12"/>
        <v>4.2517755701709294</v>
      </c>
      <c r="I191" s="3">
        <f t="shared" si="15"/>
        <v>3.1385901098169633E-2</v>
      </c>
      <c r="J191" s="3">
        <v>0.32088663676623302</v>
      </c>
      <c r="K191" s="3">
        <f t="shared" si="13"/>
        <v>5.1210518641264136</v>
      </c>
      <c r="L191" s="3">
        <f t="shared" si="16"/>
        <v>9.2372372059283947E-3</v>
      </c>
      <c r="M191" s="3">
        <f t="shared" si="14"/>
        <v>4.5000145727184746</v>
      </c>
      <c r="N191" s="3">
        <f t="shared" si="17"/>
        <v>2.801577665676902E-3</v>
      </c>
    </row>
    <row r="192" spans="2:14" x14ac:dyDescent="0.3">
      <c r="B192" s="3" t="s">
        <v>219</v>
      </c>
      <c r="C192" s="3">
        <v>0.42867904040739802</v>
      </c>
      <c r="D192" s="3">
        <v>167.94115943007401</v>
      </c>
      <c r="E192" s="3">
        <v>90.221828281274497</v>
      </c>
      <c r="F192" s="3">
        <v>70.75</v>
      </c>
      <c r="H192" s="3">
        <f t="shared" si="12"/>
        <v>4.2591525365233469</v>
      </c>
      <c r="I192" s="3">
        <f t="shared" si="15"/>
        <v>7.3769663524174689E-3</v>
      </c>
      <c r="J192" s="3">
        <v>0.42867904040739802</v>
      </c>
      <c r="K192" s="3">
        <f t="shared" si="13"/>
        <v>5.1236136765667295</v>
      </c>
      <c r="L192" s="3">
        <f t="shared" si="16"/>
        <v>2.561812440315947E-3</v>
      </c>
      <c r="M192" s="3">
        <f t="shared" si="14"/>
        <v>4.5022713964753729</v>
      </c>
      <c r="N192" s="3">
        <f t="shared" si="17"/>
        <v>2.2568237568982852E-3</v>
      </c>
    </row>
    <row r="193" spans="2:14" x14ac:dyDescent="0.3">
      <c r="B193" s="3" t="s">
        <v>220</v>
      </c>
      <c r="C193" s="3">
        <v>0.45776990206768198</v>
      </c>
      <c r="D193" s="3">
        <v>168.73763916100799</v>
      </c>
      <c r="E193" s="3">
        <v>90.459685778540006</v>
      </c>
      <c r="F193" s="3">
        <v>56.96</v>
      </c>
      <c r="H193" s="3">
        <f t="shared" si="12"/>
        <v>4.0423492671037202</v>
      </c>
      <c r="I193" s="3">
        <f t="shared" si="15"/>
        <v>-0.21680326941962669</v>
      </c>
      <c r="J193" s="3">
        <v>0.45776990206768198</v>
      </c>
      <c r="K193" s="3">
        <f t="shared" si="13"/>
        <v>5.1283450776535204</v>
      </c>
      <c r="L193" s="3">
        <f t="shared" si="16"/>
        <v>4.7314010867909317E-3</v>
      </c>
      <c r="M193" s="3">
        <f t="shared" si="14"/>
        <v>4.5049042904480414</v>
      </c>
      <c r="N193" s="3">
        <f t="shared" si="17"/>
        <v>2.6328939726685263E-3</v>
      </c>
    </row>
    <row r="194" spans="2:14" x14ac:dyDescent="0.3">
      <c r="B194" s="3" t="s">
        <v>221</v>
      </c>
      <c r="C194" s="3">
        <v>-0.33120980441323999</v>
      </c>
      <c r="D194" s="3">
        <v>169.67343595667501</v>
      </c>
      <c r="E194" s="3">
        <v>90.556899479974703</v>
      </c>
      <c r="F194" s="3">
        <v>49.52</v>
      </c>
      <c r="H194" s="3">
        <f t="shared" si="12"/>
        <v>3.9023766283763406</v>
      </c>
      <c r="I194" s="3">
        <f t="shared" si="15"/>
        <v>-0.13997263872737964</v>
      </c>
      <c r="J194" s="3">
        <v>-0.33120980441323999</v>
      </c>
      <c r="K194" s="3">
        <f t="shared" si="13"/>
        <v>5.1338756246700719</v>
      </c>
      <c r="L194" s="3">
        <f t="shared" si="16"/>
        <v>5.5305470165514237E-3</v>
      </c>
      <c r="M194" s="3">
        <f t="shared" si="14"/>
        <v>4.5059783766776746</v>
      </c>
      <c r="N194" s="3">
        <f t="shared" si="17"/>
        <v>1.074086229633231E-3</v>
      </c>
    </row>
    <row r="195" spans="2:14" x14ac:dyDescent="0.3">
      <c r="B195" s="3" t="s">
        <v>222</v>
      </c>
      <c r="C195" s="3">
        <v>0.59960187293204104</v>
      </c>
      <c r="D195" s="3">
        <v>168.12395382968799</v>
      </c>
      <c r="E195" s="3">
        <v>90.715890144983106</v>
      </c>
      <c r="F195" s="3">
        <v>51.38</v>
      </c>
      <c r="H195" s="3">
        <f t="shared" si="12"/>
        <v>3.9392489916817377</v>
      </c>
      <c r="I195" s="3">
        <f t="shared" si="15"/>
        <v>3.6872363305397116E-2</v>
      </c>
      <c r="J195" s="3">
        <v>0.59960187293204104</v>
      </c>
      <c r="K195" s="3">
        <f t="shared" si="13"/>
        <v>5.1247015277623964</v>
      </c>
      <c r="L195" s="3">
        <f t="shared" si="16"/>
        <v>-9.1740969076754553E-3</v>
      </c>
      <c r="M195" s="3">
        <f t="shared" si="14"/>
        <v>4.5077325363185805</v>
      </c>
      <c r="N195" s="3">
        <f t="shared" si="17"/>
        <v>1.7541596409058613E-3</v>
      </c>
    </row>
    <row r="196" spans="2:14" x14ac:dyDescent="0.3">
      <c r="B196" s="3" t="s">
        <v>223</v>
      </c>
      <c r="C196" s="3">
        <v>9.9288303270837694E-2</v>
      </c>
      <c r="D196" s="3">
        <v>168.26436195036399</v>
      </c>
      <c r="E196" s="3">
        <v>90.824744007528693</v>
      </c>
      <c r="F196" s="3">
        <v>54.95</v>
      </c>
      <c r="H196" s="3">
        <f t="shared" ref="H196:H259" si="18">LN(F196)</f>
        <v>4.0064236808496307</v>
      </c>
      <c r="I196" s="3">
        <f t="shared" si="15"/>
        <v>6.7174689167893042E-2</v>
      </c>
      <c r="J196" s="3">
        <v>9.9288303270837694E-2</v>
      </c>
      <c r="K196" s="3">
        <f t="shared" ref="K196:K259" si="19">LN(D196)</f>
        <v>5.1255363256566371</v>
      </c>
      <c r="L196" s="3">
        <f t="shared" si="16"/>
        <v>8.3479789424067974E-4</v>
      </c>
      <c r="M196" s="3">
        <f t="shared" ref="M196:M259" si="20">LN(E196)</f>
        <v>4.5089317595789744</v>
      </c>
      <c r="N196" s="3">
        <f t="shared" si="17"/>
        <v>1.1992232603939001E-3</v>
      </c>
    </row>
    <row r="197" spans="2:14" x14ac:dyDescent="0.3">
      <c r="B197" s="3" t="s">
        <v>224</v>
      </c>
      <c r="C197" s="3">
        <v>-1.1921580870364701</v>
      </c>
      <c r="D197" s="3">
        <v>170.93818900640801</v>
      </c>
      <c r="E197" s="3">
        <v>90.987168291421696</v>
      </c>
      <c r="F197" s="3">
        <v>58.15</v>
      </c>
      <c r="H197" s="3">
        <f t="shared" si="18"/>
        <v>4.0630258789646732</v>
      </c>
      <c r="I197" s="3">
        <f t="shared" ref="I197:I260" si="21">H197-H196</f>
        <v>5.6602198115042412E-2</v>
      </c>
      <c r="J197" s="3">
        <v>-1.1921580870364701</v>
      </c>
      <c r="K197" s="3">
        <f t="shared" si="19"/>
        <v>5.1413020233586444</v>
      </c>
      <c r="L197" s="3">
        <f t="shared" ref="L197:L260" si="22">K197-K196</f>
        <v>1.5765697702007309E-2</v>
      </c>
      <c r="M197" s="3">
        <f t="shared" si="20"/>
        <v>4.5107184887877425</v>
      </c>
      <c r="N197" s="3">
        <f t="shared" ref="N197:N260" si="23">M197-M196</f>
        <v>1.7867292087681008E-3</v>
      </c>
    </row>
    <row r="198" spans="2:14" x14ac:dyDescent="0.3">
      <c r="B198" s="3" t="s">
        <v>225</v>
      </c>
      <c r="C198" s="3">
        <v>-9.1319979032653806E-2</v>
      </c>
      <c r="D198" s="3">
        <v>171.45855664970901</v>
      </c>
      <c r="E198" s="3">
        <v>91.2164675132029</v>
      </c>
      <c r="F198" s="3">
        <v>63.86</v>
      </c>
      <c r="H198" s="3">
        <f t="shared" si="18"/>
        <v>4.1566931872866357</v>
      </c>
      <c r="I198" s="3">
        <f t="shared" si="21"/>
        <v>9.3667308321962572E-2</v>
      </c>
      <c r="J198" s="3">
        <v>-9.1319979032653806E-2</v>
      </c>
      <c r="K198" s="3">
        <f t="shared" si="19"/>
        <v>5.1443415852151144</v>
      </c>
      <c r="L198" s="3">
        <f t="shared" si="22"/>
        <v>3.03956185647003E-3</v>
      </c>
      <c r="M198" s="3">
        <f t="shared" si="20"/>
        <v>4.5132354456181689</v>
      </c>
      <c r="N198" s="3">
        <f t="shared" si="23"/>
        <v>2.5169568304264089E-3</v>
      </c>
    </row>
    <row r="199" spans="2:14" x14ac:dyDescent="0.3">
      <c r="B199" s="3" t="s">
        <v>226</v>
      </c>
      <c r="C199" s="3">
        <v>-0.49844688834192602</v>
      </c>
      <c r="D199" s="3">
        <v>171.44038518974801</v>
      </c>
      <c r="E199" s="3">
        <v>91.458636572670102</v>
      </c>
      <c r="F199" s="3">
        <v>60.83</v>
      </c>
      <c r="H199" s="3">
        <f t="shared" si="18"/>
        <v>4.1080830883326138</v>
      </c>
      <c r="I199" s="3">
        <f t="shared" si="21"/>
        <v>-4.8610098954021908E-2</v>
      </c>
      <c r="J199" s="3">
        <v>-0.49844688834192602</v>
      </c>
      <c r="K199" s="3">
        <f t="shared" si="19"/>
        <v>5.144235597953208</v>
      </c>
      <c r="L199" s="3">
        <f t="shared" si="22"/>
        <v>-1.0598726190647056E-4</v>
      </c>
      <c r="M199" s="3">
        <f t="shared" si="20"/>
        <v>4.5158868107567782</v>
      </c>
      <c r="N199" s="3">
        <f t="shared" si="23"/>
        <v>2.6513651386093073E-3</v>
      </c>
    </row>
    <row r="200" spans="2:14" x14ac:dyDescent="0.3">
      <c r="B200" s="3" t="s">
        <v>227</v>
      </c>
      <c r="C200" s="3">
        <v>0.197081936496871</v>
      </c>
      <c r="D200" s="3">
        <v>171.167675447215</v>
      </c>
      <c r="E200" s="3">
        <v>91.511789711905394</v>
      </c>
      <c r="F200" s="3">
        <v>54.66</v>
      </c>
      <c r="H200" s="3">
        <f t="shared" si="18"/>
        <v>4.0011321804999218</v>
      </c>
      <c r="I200" s="3">
        <f t="shared" si="21"/>
        <v>-0.10695090783269201</v>
      </c>
      <c r="J200" s="3">
        <v>0.197081936496871</v>
      </c>
      <c r="K200" s="3">
        <f t="shared" si="19"/>
        <v>5.1426436342403807</v>
      </c>
      <c r="L200" s="3">
        <f t="shared" si="22"/>
        <v>-1.5919637128272157E-3</v>
      </c>
      <c r="M200" s="3">
        <f t="shared" si="20"/>
        <v>4.5164678132915581</v>
      </c>
      <c r="N200" s="3">
        <f t="shared" si="23"/>
        <v>5.8100253477988417E-4</v>
      </c>
    </row>
    <row r="201" spans="2:14" x14ac:dyDescent="0.3">
      <c r="B201" s="3" t="s">
        <v>228</v>
      </c>
      <c r="C201" s="3">
        <v>-0.66375176674202496</v>
      </c>
      <c r="D201" s="3">
        <v>170.98143637415299</v>
      </c>
      <c r="E201" s="3">
        <v>91.576032646446194</v>
      </c>
      <c r="F201" s="3">
        <v>57.35</v>
      </c>
      <c r="H201" s="3">
        <f t="shared" si="18"/>
        <v>4.0491728435753798</v>
      </c>
      <c r="I201" s="3">
        <f t="shared" si="21"/>
        <v>4.8040663075457957E-2</v>
      </c>
      <c r="J201" s="3">
        <v>-0.66375176674202496</v>
      </c>
      <c r="K201" s="3">
        <f t="shared" si="19"/>
        <v>5.1415549913942025</v>
      </c>
      <c r="L201" s="3">
        <f t="shared" si="22"/>
        <v>-1.0886428461782671E-3</v>
      </c>
      <c r="M201" s="3">
        <f t="shared" si="20"/>
        <v>4.5171695851117679</v>
      </c>
      <c r="N201" s="3">
        <f t="shared" si="23"/>
        <v>7.0177182020980666E-4</v>
      </c>
    </row>
    <row r="202" spans="2:14" x14ac:dyDescent="0.3">
      <c r="B202" s="3" t="s">
        <v>229</v>
      </c>
      <c r="C202" s="3">
        <v>0.98935628367684203</v>
      </c>
      <c r="D202" s="3">
        <v>172.393605315005</v>
      </c>
      <c r="E202" s="3">
        <v>91.593240711185004</v>
      </c>
      <c r="F202" s="3">
        <v>54.81</v>
      </c>
      <c r="H202" s="3">
        <f t="shared" si="18"/>
        <v>4.0038726590580254</v>
      </c>
      <c r="I202" s="3">
        <f t="shared" si="21"/>
        <v>-4.5300184517354403E-2</v>
      </c>
      <c r="J202" s="3">
        <v>0.98935628367684203</v>
      </c>
      <c r="K202" s="3">
        <f t="shared" si="19"/>
        <v>5.1497802654013203</v>
      </c>
      <c r="L202" s="3">
        <f t="shared" si="22"/>
        <v>8.225274007117811E-3</v>
      </c>
      <c r="M202" s="3">
        <f t="shared" si="20"/>
        <v>4.5173574775947589</v>
      </c>
      <c r="N202" s="3">
        <f t="shared" si="23"/>
        <v>1.8789248299100336E-4</v>
      </c>
    </row>
    <row r="203" spans="2:14" x14ac:dyDescent="0.3">
      <c r="B203" s="3" t="s">
        <v>230</v>
      </c>
      <c r="C203" s="3">
        <v>-0.83563959061745197</v>
      </c>
      <c r="D203" s="3">
        <v>171.065284449334</v>
      </c>
      <c r="E203" s="3">
        <v>91.685335052538704</v>
      </c>
      <c r="F203" s="3">
        <v>56.95</v>
      </c>
      <c r="H203" s="3">
        <f t="shared" si="18"/>
        <v>4.0421736898931915</v>
      </c>
      <c r="I203" s="3">
        <f t="shared" si="21"/>
        <v>3.8301030835166117E-2</v>
      </c>
      <c r="J203" s="3">
        <v>-0.83563959061745197</v>
      </c>
      <c r="K203" s="3">
        <f t="shared" si="19"/>
        <v>5.1420452640485266</v>
      </c>
      <c r="L203" s="3">
        <f t="shared" si="22"/>
        <v>-7.7350013527937023E-3</v>
      </c>
      <c r="M203" s="3">
        <f t="shared" si="20"/>
        <v>4.518362443382177</v>
      </c>
      <c r="N203" s="3">
        <f t="shared" si="23"/>
        <v>1.004965787418044E-3</v>
      </c>
    </row>
    <row r="204" spans="2:14" x14ac:dyDescent="0.3">
      <c r="B204" s="3" t="s">
        <v>231</v>
      </c>
      <c r="C204" s="3">
        <v>0.82576607147021597</v>
      </c>
      <c r="D204" s="3">
        <v>172.138035090372</v>
      </c>
      <c r="E204" s="3">
        <v>91.923089111087194</v>
      </c>
      <c r="F204" s="3">
        <v>53.96</v>
      </c>
      <c r="H204" s="3">
        <f t="shared" si="18"/>
        <v>3.9882430313395552</v>
      </c>
      <c r="I204" s="3">
        <f t="shared" si="21"/>
        <v>-5.3930658553636324E-2</v>
      </c>
      <c r="J204" s="3">
        <v>0.82576607147021597</v>
      </c>
      <c r="K204" s="3">
        <f t="shared" si="19"/>
        <v>5.1482966845539506</v>
      </c>
      <c r="L204" s="3">
        <f t="shared" si="22"/>
        <v>6.2514205054240435E-3</v>
      </c>
      <c r="M204" s="3">
        <f t="shared" si="20"/>
        <v>4.5209522394932984</v>
      </c>
      <c r="N204" s="3">
        <f t="shared" si="23"/>
        <v>2.5897961111214229E-3</v>
      </c>
    </row>
    <row r="205" spans="2:14" x14ac:dyDescent="0.3">
      <c r="B205" s="3" t="s">
        <v>232</v>
      </c>
      <c r="C205" s="3">
        <v>0.48453997936966797</v>
      </c>
      <c r="D205" s="3">
        <v>172.76547889895201</v>
      </c>
      <c r="E205" s="3">
        <v>92.148466469627493</v>
      </c>
      <c r="F205" s="3">
        <v>57.03</v>
      </c>
      <c r="H205" s="3">
        <f t="shared" si="18"/>
        <v>4.0435774451684479</v>
      </c>
      <c r="I205" s="3">
        <f t="shared" si="21"/>
        <v>5.5334413828892703E-2</v>
      </c>
      <c r="J205" s="3">
        <v>0.48453997936966797</v>
      </c>
      <c r="K205" s="3">
        <f t="shared" si="19"/>
        <v>5.1519350615219697</v>
      </c>
      <c r="L205" s="3">
        <f t="shared" si="22"/>
        <v>3.6383769680190525E-3</v>
      </c>
      <c r="M205" s="3">
        <f t="shared" si="20"/>
        <v>4.5234010423021278</v>
      </c>
      <c r="N205" s="3">
        <f t="shared" si="23"/>
        <v>2.44880280882942E-3</v>
      </c>
    </row>
    <row r="206" spans="2:14" x14ac:dyDescent="0.3">
      <c r="B206" s="3" t="s">
        <v>233</v>
      </c>
      <c r="C206" s="3">
        <v>-0.37910820530803602</v>
      </c>
      <c r="D206" s="3">
        <v>170.95679281871</v>
      </c>
      <c r="E206" s="3">
        <v>92.271845786062499</v>
      </c>
      <c r="F206" s="3">
        <v>59.88</v>
      </c>
      <c r="H206" s="3">
        <f t="shared" si="18"/>
        <v>4.0923425595514278</v>
      </c>
      <c r="I206" s="3">
        <f t="shared" si="21"/>
        <v>4.8765114382979924E-2</v>
      </c>
      <c r="J206" s="3">
        <v>-0.37910820530803602</v>
      </c>
      <c r="K206" s="3">
        <f t="shared" si="19"/>
        <v>5.1414108510005185</v>
      </c>
      <c r="L206" s="3">
        <f t="shared" si="22"/>
        <v>-1.0524210521451138E-2</v>
      </c>
      <c r="M206" s="3">
        <f t="shared" si="20"/>
        <v>4.5247390655744359</v>
      </c>
      <c r="N206" s="3">
        <f t="shared" si="23"/>
        <v>1.338023272308142E-3</v>
      </c>
    </row>
    <row r="207" spans="2:14" x14ac:dyDescent="0.3">
      <c r="B207" s="3" t="s">
        <v>234</v>
      </c>
      <c r="C207" s="3">
        <v>0.347539948123611</v>
      </c>
      <c r="D207" s="3">
        <v>173.650482507437</v>
      </c>
      <c r="E207" s="3">
        <v>92.430606579206696</v>
      </c>
      <c r="F207" s="3">
        <v>57.52</v>
      </c>
      <c r="H207" s="3">
        <f t="shared" si="18"/>
        <v>4.0521327134127914</v>
      </c>
      <c r="I207" s="3">
        <f t="shared" si="21"/>
        <v>-4.0209846138636429E-2</v>
      </c>
      <c r="J207" s="3">
        <v>0.347539948123611</v>
      </c>
      <c r="K207" s="3">
        <f t="shared" si="19"/>
        <v>5.1570445578066488</v>
      </c>
      <c r="L207" s="3">
        <f t="shared" si="22"/>
        <v>1.5633706806130299E-2</v>
      </c>
      <c r="M207" s="3">
        <f t="shared" si="20"/>
        <v>4.5264581638344739</v>
      </c>
      <c r="N207" s="3">
        <f t="shared" si="23"/>
        <v>1.7190982600379101E-3</v>
      </c>
    </row>
    <row r="208" spans="2:14" x14ac:dyDescent="0.3">
      <c r="B208" s="3" t="s">
        <v>235</v>
      </c>
      <c r="C208" s="3">
        <v>0.97247322484268695</v>
      </c>
      <c r="D208" s="3">
        <v>173.35146690051599</v>
      </c>
      <c r="E208" s="3">
        <v>92.562129528593303</v>
      </c>
      <c r="F208" s="3">
        <v>50.54</v>
      </c>
      <c r="H208" s="3">
        <f t="shared" si="18"/>
        <v>3.922765101960048</v>
      </c>
      <c r="I208" s="3">
        <f t="shared" si="21"/>
        <v>-0.12936761145274334</v>
      </c>
      <c r="J208" s="3">
        <v>0.97247322484268695</v>
      </c>
      <c r="K208" s="3">
        <f t="shared" si="19"/>
        <v>5.1553211341691609</v>
      </c>
      <c r="L208" s="3">
        <f t="shared" si="22"/>
        <v>-1.7234236374878975E-3</v>
      </c>
      <c r="M208" s="3">
        <f t="shared" si="20"/>
        <v>4.527880089628038</v>
      </c>
      <c r="N208" s="3">
        <f t="shared" si="23"/>
        <v>1.4219257935641494E-3</v>
      </c>
    </row>
    <row r="209" spans="2:14" x14ac:dyDescent="0.3">
      <c r="B209" s="3" t="s">
        <v>236</v>
      </c>
      <c r="C209" s="3">
        <v>8.6126220142127202E-2</v>
      </c>
      <c r="D209" s="3">
        <v>140.82045052103899</v>
      </c>
      <c r="E209" s="3">
        <v>92.643876335172394</v>
      </c>
      <c r="F209" s="3">
        <v>29.21</v>
      </c>
      <c r="H209" s="3">
        <f t="shared" si="18"/>
        <v>3.3745111163996495</v>
      </c>
      <c r="I209" s="3">
        <f t="shared" si="21"/>
        <v>-0.5482539855603985</v>
      </c>
      <c r="J209" s="3">
        <v>8.6126220142127202E-2</v>
      </c>
      <c r="K209" s="3">
        <f t="shared" si="19"/>
        <v>4.9474856783547159</v>
      </c>
      <c r="L209" s="3">
        <f t="shared" si="22"/>
        <v>-0.20783545581444507</v>
      </c>
      <c r="M209" s="3">
        <f t="shared" si="20"/>
        <v>4.5287628559455388</v>
      </c>
      <c r="N209" s="3">
        <f t="shared" si="23"/>
        <v>8.8276631750083823E-4</v>
      </c>
    </row>
    <row r="210" spans="2:14" x14ac:dyDescent="0.3">
      <c r="B210" s="3" t="s">
        <v>237</v>
      </c>
      <c r="C210" s="3">
        <v>-4.5652790949620901</v>
      </c>
      <c r="D210" s="3">
        <v>104.571783804586</v>
      </c>
      <c r="E210" s="3">
        <v>92.788502543670205</v>
      </c>
      <c r="F210" s="3">
        <v>16.55</v>
      </c>
      <c r="H210" s="3">
        <f t="shared" si="18"/>
        <v>2.806386101823072</v>
      </c>
      <c r="I210" s="3">
        <f t="shared" si="21"/>
        <v>-0.56812501457657749</v>
      </c>
      <c r="J210" s="3">
        <v>-4.5652790949620901</v>
      </c>
      <c r="K210" s="3">
        <f t="shared" si="19"/>
        <v>4.6498737619386192</v>
      </c>
      <c r="L210" s="3">
        <f t="shared" si="22"/>
        <v>-0.29761191641609663</v>
      </c>
      <c r="M210" s="3">
        <f t="shared" si="20"/>
        <v>4.5303227371129813</v>
      </c>
      <c r="N210" s="3">
        <f t="shared" si="23"/>
        <v>1.559881167442434E-3</v>
      </c>
    </row>
    <row r="211" spans="2:14" x14ac:dyDescent="0.3">
      <c r="B211" s="3" t="s">
        <v>238</v>
      </c>
      <c r="C211" s="3">
        <v>5.0906475281957103E-2</v>
      </c>
      <c r="D211" s="3">
        <v>116.20409231795</v>
      </c>
      <c r="E211" s="3">
        <v>93.087837950255803</v>
      </c>
      <c r="F211" s="3">
        <v>28.56</v>
      </c>
      <c r="H211" s="3">
        <f t="shared" si="18"/>
        <v>3.3520071374713836</v>
      </c>
      <c r="I211" s="3">
        <f t="shared" si="21"/>
        <v>0.54562103564831155</v>
      </c>
      <c r="J211" s="3">
        <v>5.0906475281957103E-2</v>
      </c>
      <c r="K211" s="3">
        <f t="shared" si="19"/>
        <v>4.7553480616802055</v>
      </c>
      <c r="L211" s="3">
        <f t="shared" si="22"/>
        <v>0.10547429974158629</v>
      </c>
      <c r="M211" s="3">
        <f t="shared" si="20"/>
        <v>4.5335435414881387</v>
      </c>
      <c r="N211" s="3">
        <f t="shared" si="23"/>
        <v>3.2208043751573712E-3</v>
      </c>
    </row>
    <row r="212" spans="2:14" x14ac:dyDescent="0.3">
      <c r="B212" s="3" t="s">
        <v>239</v>
      </c>
      <c r="C212" s="3">
        <v>3.3653888040313298</v>
      </c>
      <c r="D212" s="3">
        <v>139.91102445364899</v>
      </c>
      <c r="E212" s="3">
        <v>92.978460658046004</v>
      </c>
      <c r="F212" s="3">
        <v>38.31</v>
      </c>
      <c r="H212" s="3">
        <f t="shared" si="18"/>
        <v>3.6457109587125576</v>
      </c>
      <c r="I212" s="3">
        <f t="shared" si="21"/>
        <v>0.293703821241174</v>
      </c>
      <c r="J212" s="3">
        <v>3.3653888040313298</v>
      </c>
      <c r="K212" s="3">
        <f t="shared" si="19"/>
        <v>4.9410066809516016</v>
      </c>
      <c r="L212" s="3">
        <f t="shared" si="22"/>
        <v>0.18565861927139604</v>
      </c>
      <c r="M212" s="3">
        <f t="shared" si="20"/>
        <v>4.5323678605010222</v>
      </c>
      <c r="N212" s="3">
        <f t="shared" si="23"/>
        <v>-1.1756809871164009E-3</v>
      </c>
    </row>
    <row r="213" spans="2:14" x14ac:dyDescent="0.3">
      <c r="B213" s="3" t="s">
        <v>240</v>
      </c>
      <c r="C213" s="3">
        <v>1.66439510000685</v>
      </c>
      <c r="D213" s="3">
        <v>152.544198892754</v>
      </c>
      <c r="E213" s="3">
        <v>93.277587781952306</v>
      </c>
      <c r="F213" s="3">
        <v>40.71</v>
      </c>
      <c r="H213" s="3">
        <f t="shared" si="18"/>
        <v>3.7064737625148876</v>
      </c>
      <c r="I213" s="3">
        <f t="shared" si="21"/>
        <v>6.0762803802330012E-2</v>
      </c>
      <c r="J213" s="3">
        <v>1.66439510000685</v>
      </c>
      <c r="K213" s="3">
        <f t="shared" si="19"/>
        <v>5.0274543828601557</v>
      </c>
      <c r="L213" s="3">
        <f t="shared" si="22"/>
        <v>8.6447701908554109E-2</v>
      </c>
      <c r="M213" s="3">
        <f t="shared" si="20"/>
        <v>4.5355798622973129</v>
      </c>
      <c r="N213" s="3">
        <f t="shared" si="23"/>
        <v>3.2120017962906644E-3</v>
      </c>
    </row>
    <row r="214" spans="2:14" x14ac:dyDescent="0.3">
      <c r="B214" s="3" t="s">
        <v>241</v>
      </c>
      <c r="C214" s="3">
        <v>2.8875597573369398</v>
      </c>
      <c r="D214" s="3">
        <v>156.36406569440399</v>
      </c>
      <c r="E214" s="3">
        <v>93.132259182792197</v>
      </c>
      <c r="F214" s="3">
        <v>42.34</v>
      </c>
      <c r="H214" s="3">
        <f t="shared" si="18"/>
        <v>3.7457322657067191</v>
      </c>
      <c r="I214" s="3">
        <f t="shared" si="21"/>
        <v>3.9258503191831551E-2</v>
      </c>
      <c r="J214" s="3">
        <v>2.8875597573369398</v>
      </c>
      <c r="K214" s="3">
        <f t="shared" si="19"/>
        <v>5.0521870427253841</v>
      </c>
      <c r="L214" s="3">
        <f t="shared" si="22"/>
        <v>2.4732659865228435E-2</v>
      </c>
      <c r="M214" s="3">
        <f t="shared" si="20"/>
        <v>4.5340206246178631</v>
      </c>
      <c r="N214" s="3">
        <f t="shared" si="23"/>
        <v>-1.5592376794497653E-3</v>
      </c>
    </row>
    <row r="215" spans="2:14" x14ac:dyDescent="0.3">
      <c r="B215" s="3" t="s">
        <v>242</v>
      </c>
      <c r="C215" s="3">
        <v>0.68967310353257205</v>
      </c>
      <c r="D215" s="3">
        <v>160.26131398211101</v>
      </c>
      <c r="E215" s="3">
        <v>93.352326835013898</v>
      </c>
      <c r="F215" s="3">
        <v>39.630000000000003</v>
      </c>
      <c r="H215" s="3">
        <f t="shared" si="18"/>
        <v>3.6795864072023439</v>
      </c>
      <c r="I215" s="3">
        <f t="shared" si="21"/>
        <v>-6.6145858504375266E-2</v>
      </c>
      <c r="J215" s="3">
        <v>0.68967310353257205</v>
      </c>
      <c r="K215" s="3">
        <f t="shared" si="19"/>
        <v>5.0768056953810259</v>
      </c>
      <c r="L215" s="3">
        <f t="shared" si="22"/>
        <v>2.4618652655641782E-2</v>
      </c>
      <c r="M215" s="3">
        <f t="shared" si="20"/>
        <v>4.5363807956011772</v>
      </c>
      <c r="N215" s="3">
        <f t="shared" si="23"/>
        <v>2.3601709833140916E-3</v>
      </c>
    </row>
    <row r="216" spans="2:14" x14ac:dyDescent="0.3">
      <c r="B216" s="3" t="s">
        <v>243</v>
      </c>
      <c r="C216" s="3">
        <v>1.6421386217991301</v>
      </c>
      <c r="D216" s="3">
        <v>166.74684518517901</v>
      </c>
      <c r="E216" s="3">
        <v>93.511422872260397</v>
      </c>
      <c r="F216" s="3">
        <v>39.4</v>
      </c>
      <c r="H216" s="3">
        <f t="shared" si="18"/>
        <v>3.673765816303888</v>
      </c>
      <c r="I216" s="3">
        <f t="shared" si="21"/>
        <v>-5.8205908984558796E-3</v>
      </c>
      <c r="J216" s="3">
        <v>1.6421386217991301</v>
      </c>
      <c r="K216" s="3">
        <f t="shared" si="19"/>
        <v>5.1164767651875467</v>
      </c>
      <c r="L216" s="3">
        <f t="shared" si="22"/>
        <v>3.9671069806520798E-2</v>
      </c>
      <c r="M216" s="3">
        <f t="shared" si="20"/>
        <v>4.5380835985893198</v>
      </c>
      <c r="N216" s="3">
        <f t="shared" si="23"/>
        <v>1.7028029881425155E-3</v>
      </c>
    </row>
    <row r="217" spans="2:14" x14ac:dyDescent="0.3">
      <c r="B217" s="3" t="s">
        <v>244</v>
      </c>
      <c r="C217" s="3">
        <v>0.73871892255988902</v>
      </c>
      <c r="D217" s="3">
        <v>168.292170423214</v>
      </c>
      <c r="E217" s="3">
        <v>94.123566912216205</v>
      </c>
      <c r="F217" s="3">
        <v>40.94</v>
      </c>
      <c r="H217" s="3">
        <f t="shared" si="18"/>
        <v>3.7121075802331434</v>
      </c>
      <c r="I217" s="3">
        <f t="shared" si="21"/>
        <v>3.8341763929255368E-2</v>
      </c>
      <c r="J217" s="3">
        <v>0.73871892255988902</v>
      </c>
      <c r="K217" s="3">
        <f t="shared" si="19"/>
        <v>5.125701578565069</v>
      </c>
      <c r="L217" s="3">
        <f t="shared" si="22"/>
        <v>9.2248133775223451E-3</v>
      </c>
      <c r="M217" s="3">
        <f t="shared" si="20"/>
        <v>4.5446084606359296</v>
      </c>
      <c r="N217" s="3">
        <f t="shared" si="23"/>
        <v>6.5248620466098473E-3</v>
      </c>
    </row>
    <row r="218" spans="2:14" x14ac:dyDescent="0.3">
      <c r="B218" s="3" t="s">
        <v>245</v>
      </c>
      <c r="C218" s="3">
        <v>1.59315820413933</v>
      </c>
      <c r="D218" s="3">
        <v>172.400120770981</v>
      </c>
      <c r="E218" s="3">
        <v>94.087797527464105</v>
      </c>
      <c r="F218" s="3">
        <v>47.02</v>
      </c>
      <c r="H218" s="3">
        <f t="shared" si="18"/>
        <v>3.8505730431119236</v>
      </c>
      <c r="I218" s="3">
        <f t="shared" si="21"/>
        <v>0.13846546287878025</v>
      </c>
      <c r="J218" s="3">
        <v>1.59315820413933</v>
      </c>
      <c r="K218" s="3">
        <f t="shared" si="19"/>
        <v>5.149818058757079</v>
      </c>
      <c r="L218" s="3">
        <f t="shared" si="22"/>
        <v>2.4116480192009959E-2</v>
      </c>
      <c r="M218" s="3">
        <f t="shared" si="20"/>
        <v>4.5442283625978623</v>
      </c>
      <c r="N218" s="3">
        <f t="shared" si="23"/>
        <v>-3.8009803806726694E-4</v>
      </c>
    </row>
    <row r="219" spans="2:14" x14ac:dyDescent="0.3">
      <c r="B219" s="3" t="s">
        <v>246</v>
      </c>
      <c r="C219" s="3">
        <v>0.83686719141231403</v>
      </c>
      <c r="D219" s="3">
        <v>172.90099314200501</v>
      </c>
      <c r="E219" s="3">
        <v>94.907015137831095</v>
      </c>
      <c r="F219" s="3">
        <v>52</v>
      </c>
      <c r="H219" s="3">
        <f t="shared" si="18"/>
        <v>3.9512437185814275</v>
      </c>
      <c r="I219" s="3">
        <f t="shared" si="21"/>
        <v>0.10067067546950392</v>
      </c>
      <c r="J219" s="3">
        <v>0.83686719141231403</v>
      </c>
      <c r="K219" s="3">
        <f t="shared" si="19"/>
        <v>5.1527191366982255</v>
      </c>
      <c r="L219" s="3">
        <f t="shared" si="22"/>
        <v>2.9010779411464682E-3</v>
      </c>
      <c r="M219" s="3">
        <f t="shared" si="20"/>
        <v>4.5528976242519157</v>
      </c>
      <c r="N219" s="3">
        <f t="shared" si="23"/>
        <v>8.6692616540533507E-3</v>
      </c>
    </row>
    <row r="220" spans="2:14" x14ac:dyDescent="0.3">
      <c r="B220" s="3" t="s">
        <v>247</v>
      </c>
      <c r="C220" s="3">
        <v>0.95476359296355995</v>
      </c>
      <c r="D220" s="3">
        <v>169.15538756642201</v>
      </c>
      <c r="E220" s="3">
        <v>94.793795504301599</v>
      </c>
      <c r="F220" s="3">
        <v>59.04</v>
      </c>
      <c r="H220" s="3">
        <f t="shared" si="18"/>
        <v>4.0782151802922169</v>
      </c>
      <c r="I220" s="3">
        <f t="shared" si="21"/>
        <v>0.12697146171078932</v>
      </c>
      <c r="J220" s="3">
        <v>0.95476359296355995</v>
      </c>
      <c r="K220" s="3">
        <f t="shared" si="19"/>
        <v>5.130817745540786</v>
      </c>
      <c r="L220" s="3">
        <f t="shared" si="22"/>
        <v>-2.1901391157439498E-2</v>
      </c>
      <c r="M220" s="3">
        <f t="shared" si="20"/>
        <v>4.5517039588522845</v>
      </c>
      <c r="N220" s="3">
        <f t="shared" si="23"/>
        <v>-1.1936653996311719E-3</v>
      </c>
    </row>
    <row r="221" spans="2:14" x14ac:dyDescent="0.3">
      <c r="B221" s="3" t="s">
        <v>248</v>
      </c>
      <c r="C221" s="3">
        <v>3.65100281010836E-2</v>
      </c>
      <c r="D221" s="3">
        <v>168.75683535705301</v>
      </c>
      <c r="E221" s="3">
        <v>95.050626995084798</v>
      </c>
      <c r="F221" s="3">
        <v>62.33</v>
      </c>
      <c r="H221" s="3">
        <f t="shared" si="18"/>
        <v>4.1324428508207589</v>
      </c>
      <c r="I221" s="3">
        <f t="shared" si="21"/>
        <v>5.4227670528542049E-2</v>
      </c>
      <c r="J221" s="3">
        <v>3.65100281010836E-2</v>
      </c>
      <c r="K221" s="3">
        <f t="shared" si="19"/>
        <v>5.128458834751874</v>
      </c>
      <c r="L221" s="3">
        <f t="shared" si="22"/>
        <v>-2.3589107889119276E-3</v>
      </c>
      <c r="M221" s="3">
        <f t="shared" si="20"/>
        <v>4.5544096653891124</v>
      </c>
      <c r="N221" s="3">
        <f t="shared" si="23"/>
        <v>2.7057065368278899E-3</v>
      </c>
    </row>
    <row r="222" spans="2:14" x14ac:dyDescent="0.3">
      <c r="B222" s="3" t="s">
        <v>249</v>
      </c>
      <c r="C222" s="3">
        <v>0.22155256258014799</v>
      </c>
      <c r="D222" s="3">
        <v>167.832160638837</v>
      </c>
      <c r="E222" s="3">
        <v>94.999241804173096</v>
      </c>
      <c r="F222" s="3">
        <v>61.72</v>
      </c>
      <c r="H222" s="3">
        <f t="shared" si="18"/>
        <v>4.1226080274949597</v>
      </c>
      <c r="I222" s="3">
        <f t="shared" si="21"/>
        <v>-9.8348233257992135E-3</v>
      </c>
      <c r="J222" s="3">
        <v>0.22155256258014799</v>
      </c>
      <c r="K222" s="3">
        <f t="shared" si="19"/>
        <v>5.1229644362099114</v>
      </c>
      <c r="L222" s="3">
        <f t="shared" si="22"/>
        <v>-5.4943985419626529E-3</v>
      </c>
      <c r="M222" s="3">
        <f t="shared" si="20"/>
        <v>4.5538689105599879</v>
      </c>
      <c r="N222" s="3">
        <f t="shared" si="23"/>
        <v>-5.4075482912452344E-4</v>
      </c>
    </row>
    <row r="223" spans="2:14" x14ac:dyDescent="0.3">
      <c r="B223" s="3" t="s">
        <v>250</v>
      </c>
      <c r="C223" s="3">
        <v>3.21207516396785</v>
      </c>
      <c r="D223" s="3">
        <v>172.46262082341099</v>
      </c>
      <c r="E223" s="3">
        <v>95.367164094827999</v>
      </c>
      <c r="F223" s="3">
        <v>65.17</v>
      </c>
      <c r="H223" s="3">
        <f t="shared" si="18"/>
        <v>4.1769992403442888</v>
      </c>
      <c r="I223" s="3">
        <f t="shared" si="21"/>
        <v>5.4391212849329129E-2</v>
      </c>
      <c r="J223" s="3">
        <v>3.21207516396785</v>
      </c>
      <c r="K223" s="3">
        <f t="shared" si="19"/>
        <v>5.1501805221117767</v>
      </c>
      <c r="L223" s="3">
        <f t="shared" si="22"/>
        <v>2.7216085901865306E-2</v>
      </c>
      <c r="M223" s="3">
        <f t="shared" si="20"/>
        <v>4.5577343273285074</v>
      </c>
      <c r="N223" s="3">
        <f t="shared" si="23"/>
        <v>3.8654167685194807E-3</v>
      </c>
    </row>
    <row r="224" spans="2:14" x14ac:dyDescent="0.3">
      <c r="B224" s="3" t="s">
        <v>251</v>
      </c>
      <c r="C224" s="3">
        <v>3.2601817398187398</v>
      </c>
      <c r="D224" s="3">
        <v>172.756272866323</v>
      </c>
      <c r="E224" s="3">
        <v>96.007748807400304</v>
      </c>
      <c r="F224" s="3">
        <v>71.38</v>
      </c>
      <c r="H224" s="3">
        <f t="shared" si="18"/>
        <v>4.2680177180620138</v>
      </c>
      <c r="I224" s="3">
        <f t="shared" si="21"/>
        <v>9.1018477717724977E-2</v>
      </c>
      <c r="J224" s="3">
        <v>3.2601817398187398</v>
      </c>
      <c r="K224" s="3">
        <f t="shared" si="19"/>
        <v>5.1518817738051519</v>
      </c>
      <c r="L224" s="3">
        <f t="shared" si="22"/>
        <v>1.7012516933752053E-3</v>
      </c>
      <c r="M224" s="3">
        <f t="shared" si="20"/>
        <v>4.564428904954168</v>
      </c>
      <c r="N224" s="3">
        <f t="shared" si="23"/>
        <v>6.6945776256606138E-3</v>
      </c>
    </row>
    <row r="225" spans="2:14" x14ac:dyDescent="0.3">
      <c r="B225" s="3" t="s">
        <v>252</v>
      </c>
      <c r="C225" s="3">
        <v>-0.90951083016644796</v>
      </c>
      <c r="D225" s="3">
        <v>173.54042175974399</v>
      </c>
      <c r="E225" s="3">
        <v>96.8329150975906</v>
      </c>
      <c r="F225" s="3">
        <v>72.489999999999995</v>
      </c>
      <c r="H225" s="3">
        <f t="shared" si="18"/>
        <v>4.283448621312786</v>
      </c>
      <c r="I225" s="3">
        <f t="shared" si="21"/>
        <v>1.5430903250772232E-2</v>
      </c>
      <c r="J225" s="3">
        <v>-0.90951083016644796</v>
      </c>
      <c r="K225" s="3">
        <f t="shared" si="19"/>
        <v>5.1564105506939795</v>
      </c>
      <c r="L225" s="3">
        <f t="shared" si="22"/>
        <v>4.5287768888275792E-3</v>
      </c>
      <c r="M225" s="3">
        <f t="shared" si="20"/>
        <v>4.5729869684846554</v>
      </c>
      <c r="N225" s="3">
        <f t="shared" si="23"/>
        <v>8.5580635304873809E-3</v>
      </c>
    </row>
    <row r="226" spans="2:14" x14ac:dyDescent="0.3">
      <c r="B226" s="3" t="s">
        <v>253</v>
      </c>
      <c r="C226" s="3">
        <v>2.6327725317242998</v>
      </c>
      <c r="D226" s="3">
        <v>174.87920486451901</v>
      </c>
      <c r="E226" s="3">
        <v>97.736271996997999</v>
      </c>
      <c r="F226" s="3">
        <v>67.73</v>
      </c>
      <c r="H226" s="3">
        <f t="shared" si="18"/>
        <v>4.2155292132268123</v>
      </c>
      <c r="I226" s="3">
        <f t="shared" si="21"/>
        <v>-6.7919408085973743E-2</v>
      </c>
      <c r="J226" s="3">
        <v>2.6327725317242998</v>
      </c>
      <c r="K226" s="3">
        <f t="shared" si="19"/>
        <v>5.1640954776688011</v>
      </c>
      <c r="L226" s="3">
        <f t="shared" si="22"/>
        <v>7.6849269748215931E-3</v>
      </c>
      <c r="M226" s="3">
        <f t="shared" si="20"/>
        <v>4.5822727490744555</v>
      </c>
      <c r="N226" s="3">
        <f t="shared" si="23"/>
        <v>9.2857805898001189E-3</v>
      </c>
    </row>
    <row r="227" spans="2:14" x14ac:dyDescent="0.3">
      <c r="B227" s="3" t="s">
        <v>254</v>
      </c>
      <c r="C227" s="3">
        <v>0.41526369987545902</v>
      </c>
      <c r="D227" s="3">
        <v>175.854950933071</v>
      </c>
      <c r="E227" s="3">
        <v>98.230375596969296</v>
      </c>
      <c r="F227" s="3">
        <v>71.650000000000006</v>
      </c>
      <c r="H227" s="3">
        <f t="shared" si="18"/>
        <v>4.2717931542741807</v>
      </c>
      <c r="I227" s="3">
        <f t="shared" si="21"/>
        <v>5.6263941047368426E-2</v>
      </c>
      <c r="J227" s="3">
        <v>0.41526369987545902</v>
      </c>
      <c r="K227" s="3">
        <f t="shared" si="19"/>
        <v>5.1696595128203455</v>
      </c>
      <c r="L227" s="3">
        <f t="shared" si="22"/>
        <v>5.5640351515444664E-3</v>
      </c>
      <c r="M227" s="3">
        <f t="shared" si="20"/>
        <v>4.5873154913277352</v>
      </c>
      <c r="N227" s="3">
        <f t="shared" si="23"/>
        <v>5.0427422532797195E-3</v>
      </c>
    </row>
    <row r="228" spans="2:14" x14ac:dyDescent="0.3">
      <c r="B228" s="3" t="s">
        <v>255</v>
      </c>
      <c r="C228" s="3">
        <v>-2.4522405675663999</v>
      </c>
      <c r="D228" s="3">
        <v>175.023326475673</v>
      </c>
      <c r="E228" s="3">
        <v>98.961340724322497</v>
      </c>
      <c r="F228" s="3">
        <v>81.48</v>
      </c>
      <c r="H228" s="3">
        <f t="shared" si="18"/>
        <v>4.4003575913586053</v>
      </c>
      <c r="I228" s="3">
        <f t="shared" si="21"/>
        <v>0.12856443708442455</v>
      </c>
      <c r="J228" s="3">
        <v>-2.4522405675663999</v>
      </c>
      <c r="K228" s="3">
        <f t="shared" si="19"/>
        <v>5.1649192591873412</v>
      </c>
      <c r="L228" s="3">
        <f t="shared" si="22"/>
        <v>-4.7402536330043432E-3</v>
      </c>
      <c r="M228" s="3">
        <f t="shared" si="20"/>
        <v>4.5947292761363787</v>
      </c>
      <c r="N228" s="3">
        <f t="shared" si="23"/>
        <v>7.4137848086435199E-3</v>
      </c>
    </row>
    <row r="229" spans="2:14" x14ac:dyDescent="0.3">
      <c r="B229" s="3" t="s">
        <v>256</v>
      </c>
      <c r="C229" s="3">
        <v>1.3040819003171999E-2</v>
      </c>
      <c r="D229" s="3">
        <v>174.28334484974999</v>
      </c>
      <c r="E229" s="3">
        <v>99.449493411811105</v>
      </c>
      <c r="F229" s="3">
        <v>79.150000000000006</v>
      </c>
      <c r="H229" s="3">
        <f t="shared" si="18"/>
        <v>4.3713447863270209</v>
      </c>
      <c r="I229" s="3">
        <f t="shared" si="21"/>
        <v>-2.9012805031584321E-2</v>
      </c>
      <c r="J229" s="3">
        <v>1.3040819003171999E-2</v>
      </c>
      <c r="K229" s="3">
        <f t="shared" si="19"/>
        <v>5.1606823934551889</v>
      </c>
      <c r="L229" s="3">
        <f t="shared" si="22"/>
        <v>-4.2368657321523173E-3</v>
      </c>
      <c r="M229" s="3">
        <f t="shared" si="20"/>
        <v>4.5996499113886777</v>
      </c>
      <c r="N229" s="3">
        <f t="shared" si="23"/>
        <v>4.9206352522990215E-3</v>
      </c>
    </row>
    <row r="230" spans="2:14" x14ac:dyDescent="0.3">
      <c r="B230" s="3" t="s">
        <v>257</v>
      </c>
      <c r="C230" s="3">
        <v>-0.66022535967429796</v>
      </c>
      <c r="D230" s="3">
        <v>175.225814954611</v>
      </c>
      <c r="E230" s="3">
        <v>100.138313947223</v>
      </c>
      <c r="F230" s="3">
        <v>71.709999999999994</v>
      </c>
      <c r="H230" s="3">
        <f t="shared" si="18"/>
        <v>4.2726302078944833</v>
      </c>
      <c r="I230" s="3">
        <f t="shared" si="21"/>
        <v>-9.8714578432537614E-2</v>
      </c>
      <c r="J230" s="3">
        <v>-0.66022535967429796</v>
      </c>
      <c r="K230" s="3">
        <f t="shared" si="19"/>
        <v>5.1660755132793312</v>
      </c>
      <c r="L230" s="3">
        <f t="shared" si="22"/>
        <v>5.3931198241423672E-3</v>
      </c>
      <c r="M230" s="3">
        <f t="shared" si="20"/>
        <v>4.6065523698040236</v>
      </c>
      <c r="N230" s="3">
        <f t="shared" si="23"/>
        <v>6.902458415345869E-3</v>
      </c>
    </row>
    <row r="231" spans="2:14" x14ac:dyDescent="0.3">
      <c r="B231" s="3" t="s">
        <v>258</v>
      </c>
      <c r="C231" s="3">
        <v>-2.75959298287201</v>
      </c>
      <c r="D231" s="3">
        <v>177.77595236253299</v>
      </c>
      <c r="E231" s="3">
        <v>100.310298940621</v>
      </c>
      <c r="F231" s="3">
        <v>83.22</v>
      </c>
      <c r="H231" s="3">
        <f t="shared" si="18"/>
        <v>4.4214877035547948</v>
      </c>
      <c r="I231" s="3">
        <f t="shared" si="21"/>
        <v>0.14885749566031148</v>
      </c>
      <c r="J231" s="3">
        <v>-2.75959298287201</v>
      </c>
      <c r="K231" s="3">
        <f t="shared" si="19"/>
        <v>5.1805240628781855</v>
      </c>
      <c r="L231" s="3">
        <f t="shared" si="22"/>
        <v>1.4448549598854221E-2</v>
      </c>
      <c r="M231" s="3">
        <f t="shared" si="20"/>
        <v>4.6082683710586432</v>
      </c>
      <c r="N231" s="3">
        <f t="shared" si="23"/>
        <v>1.7160012546195702E-3</v>
      </c>
    </row>
    <row r="232" spans="2:14" x14ac:dyDescent="0.3">
      <c r="B232" s="3" t="s">
        <v>259</v>
      </c>
      <c r="C232" s="3">
        <v>-1.80674620295179</v>
      </c>
      <c r="D232" s="3">
        <v>177.45500302739299</v>
      </c>
      <c r="E232" s="3">
        <v>100.629603217629</v>
      </c>
      <c r="F232" s="3">
        <v>91.64</v>
      </c>
      <c r="H232" s="3">
        <f t="shared" si="18"/>
        <v>4.5178678575852951</v>
      </c>
      <c r="I232" s="3">
        <f t="shared" si="21"/>
        <v>9.6380154030500265E-2</v>
      </c>
      <c r="J232" s="3">
        <v>-1.80674620295179</v>
      </c>
      <c r="K232" s="3">
        <f t="shared" si="19"/>
        <v>5.1787170727068563</v>
      </c>
      <c r="L232" s="3">
        <f t="shared" si="22"/>
        <v>-1.8069901713291259E-3</v>
      </c>
      <c r="M232" s="3">
        <f t="shared" si="20"/>
        <v>4.6114464809545508</v>
      </c>
      <c r="N232" s="3">
        <f t="shared" si="23"/>
        <v>3.1781098959076104E-3</v>
      </c>
    </row>
    <row r="233" spans="2:14" x14ac:dyDescent="0.3">
      <c r="B233" s="3" t="s">
        <v>260</v>
      </c>
      <c r="C233" s="3">
        <v>-2.3011015152565899</v>
      </c>
      <c r="D233" s="3">
        <v>175.624506747689</v>
      </c>
      <c r="E233" s="3">
        <v>101.53436914992299</v>
      </c>
      <c r="F233" s="3">
        <v>108.5</v>
      </c>
      <c r="H233" s="3">
        <f t="shared" si="18"/>
        <v>4.6867501729805143</v>
      </c>
      <c r="I233" s="3">
        <f t="shared" si="21"/>
        <v>0.16888231539521925</v>
      </c>
      <c r="J233" s="3">
        <v>-2.3011015152565899</v>
      </c>
      <c r="K233" s="3">
        <f t="shared" si="19"/>
        <v>5.1683482315299818</v>
      </c>
      <c r="L233" s="3">
        <f t="shared" si="22"/>
        <v>-1.0368841176874533E-2</v>
      </c>
      <c r="M233" s="3">
        <f t="shared" si="20"/>
        <v>4.6203973534801426</v>
      </c>
      <c r="N233" s="3">
        <f t="shared" si="23"/>
        <v>8.9508725255917909E-3</v>
      </c>
    </row>
    <row r="234" spans="2:14" x14ac:dyDescent="0.3">
      <c r="B234" s="3" t="s">
        <v>261</v>
      </c>
      <c r="C234" s="3">
        <v>-1.1703369351138799</v>
      </c>
      <c r="D234" s="3">
        <v>175.36384503404199</v>
      </c>
      <c r="E234" s="3">
        <v>102.557954022622</v>
      </c>
      <c r="F234" s="3">
        <v>101.78</v>
      </c>
      <c r="H234" s="3">
        <f t="shared" si="18"/>
        <v>4.6228136211606863</v>
      </c>
      <c r="I234" s="3">
        <f t="shared" si="21"/>
        <v>-6.3936551819828047E-2</v>
      </c>
      <c r="J234" s="3">
        <v>-1.1703369351138799</v>
      </c>
      <c r="K234" s="3">
        <f t="shared" si="19"/>
        <v>5.1668629300363875</v>
      </c>
      <c r="L234" s="3">
        <f t="shared" si="22"/>
        <v>-1.485301493594271E-3</v>
      </c>
      <c r="M234" s="3">
        <f t="shared" si="20"/>
        <v>4.630428043895976</v>
      </c>
      <c r="N234" s="3">
        <f t="shared" si="23"/>
        <v>1.0030690415833377E-2</v>
      </c>
    </row>
    <row r="235" spans="2:14" x14ac:dyDescent="0.3">
      <c r="B235" s="3" t="s">
        <v>262</v>
      </c>
      <c r="C235" s="3">
        <v>-2.2018973774841202</v>
      </c>
      <c r="D235" s="3">
        <v>176.549094020246</v>
      </c>
      <c r="E235" s="3">
        <v>103.07733490661001</v>
      </c>
      <c r="F235" s="3">
        <v>109.55</v>
      </c>
      <c r="H235" s="3">
        <f t="shared" si="18"/>
        <v>4.6963810660414751</v>
      </c>
      <c r="I235" s="3">
        <f t="shared" si="21"/>
        <v>7.3567444880788813E-2</v>
      </c>
      <c r="J235" s="3">
        <v>-2.2018973774841202</v>
      </c>
      <c r="K235" s="3">
        <f t="shared" si="19"/>
        <v>5.1735989907851652</v>
      </c>
      <c r="L235" s="3">
        <f t="shared" si="22"/>
        <v>6.7360607487776392E-3</v>
      </c>
      <c r="M235" s="3">
        <f t="shared" si="20"/>
        <v>4.6354795308380732</v>
      </c>
      <c r="N235" s="3">
        <f t="shared" si="23"/>
        <v>5.0514869420972275E-3</v>
      </c>
    </row>
    <row r="236" spans="2:14" x14ac:dyDescent="0.3">
      <c r="B236" s="3" t="s">
        <v>263</v>
      </c>
      <c r="C236" s="3">
        <v>-1.0276778803070501</v>
      </c>
      <c r="D236" s="3">
        <v>179.22937448249701</v>
      </c>
      <c r="E236" s="3">
        <v>104.46602293574</v>
      </c>
      <c r="F236" s="3">
        <v>114.84</v>
      </c>
      <c r="H236" s="3">
        <f t="shared" si="18"/>
        <v>4.7435398552528634</v>
      </c>
      <c r="I236" s="3">
        <f t="shared" si="21"/>
        <v>4.7158789211388275E-2</v>
      </c>
      <c r="J236" s="3">
        <v>-1.0276778803070501</v>
      </c>
      <c r="K236" s="3">
        <f t="shared" si="19"/>
        <v>5.1886664072106177</v>
      </c>
      <c r="L236" s="3">
        <f t="shared" si="22"/>
        <v>1.5067416425452507E-2</v>
      </c>
      <c r="M236" s="3">
        <f t="shared" si="20"/>
        <v>4.6488618791646914</v>
      </c>
      <c r="N236" s="3">
        <f t="shared" si="23"/>
        <v>1.3382348326618221E-2</v>
      </c>
    </row>
    <row r="237" spans="2:14" x14ac:dyDescent="0.3">
      <c r="B237" s="3" t="s">
        <v>264</v>
      </c>
      <c r="C237" s="3">
        <v>1.6479115444007799</v>
      </c>
      <c r="D237" s="3">
        <v>177.76735736691001</v>
      </c>
      <c r="E237" s="3">
        <v>105.293194860235</v>
      </c>
      <c r="F237" s="3">
        <v>101.62</v>
      </c>
      <c r="H237" s="3">
        <f t="shared" si="18"/>
        <v>4.6212403661655861</v>
      </c>
      <c r="I237" s="3">
        <f t="shared" si="21"/>
        <v>-0.12229948908727728</v>
      </c>
      <c r="J237" s="3">
        <v>1.6479115444007799</v>
      </c>
      <c r="K237" s="3">
        <f t="shared" si="19"/>
        <v>5.1804757143626068</v>
      </c>
      <c r="L237" s="3">
        <f t="shared" si="22"/>
        <v>-8.1906928480108832E-3</v>
      </c>
      <c r="M237" s="3">
        <f t="shared" si="20"/>
        <v>4.6567487908429719</v>
      </c>
      <c r="N237" s="3">
        <f t="shared" si="23"/>
        <v>7.8869116782804838E-3</v>
      </c>
    </row>
    <row r="238" spans="2:14" x14ac:dyDescent="0.3">
      <c r="B238" s="3" t="s">
        <v>265</v>
      </c>
      <c r="C238" s="3">
        <v>-1.1764920644602099</v>
      </c>
      <c r="D238" s="3">
        <v>177.59760674853001</v>
      </c>
      <c r="E238" s="3">
        <v>105.93733482655399</v>
      </c>
      <c r="F238" s="3">
        <v>93.67</v>
      </c>
      <c r="H238" s="3">
        <f t="shared" si="18"/>
        <v>4.5397779672210392</v>
      </c>
      <c r="I238" s="3">
        <f t="shared" si="21"/>
        <v>-8.1462398944546877E-2</v>
      </c>
      <c r="J238" s="3">
        <v>-1.1764920644602099</v>
      </c>
      <c r="K238" s="3">
        <f t="shared" si="19"/>
        <v>5.1795203549522402</v>
      </c>
      <c r="L238" s="3">
        <f t="shared" si="22"/>
        <v>-9.5535941036661853E-4</v>
      </c>
      <c r="M238" s="3">
        <f t="shared" si="20"/>
        <v>4.6628477384141815</v>
      </c>
      <c r="N238" s="3">
        <f t="shared" si="23"/>
        <v>6.0989475712096564E-3</v>
      </c>
    </row>
    <row r="239" spans="2:14" x14ac:dyDescent="0.3">
      <c r="B239" s="3" t="s">
        <v>266</v>
      </c>
      <c r="C239" s="3">
        <v>-1.8698219202161701</v>
      </c>
      <c r="D239" s="3">
        <v>179.26037297873199</v>
      </c>
      <c r="E239" s="3">
        <v>106.60810956621999</v>
      </c>
      <c r="F239" s="3">
        <v>84.26</v>
      </c>
      <c r="H239" s="3">
        <f t="shared" si="18"/>
        <v>4.4339072565508708</v>
      </c>
      <c r="I239" s="3">
        <f t="shared" si="21"/>
        <v>-0.1058707106701684</v>
      </c>
      <c r="J239" s="3">
        <v>-1.8698219202161701</v>
      </c>
      <c r="K239" s="3">
        <f t="shared" si="19"/>
        <v>5.1888393465849338</v>
      </c>
      <c r="L239" s="3">
        <f t="shared" si="22"/>
        <v>9.3189916326936739E-3</v>
      </c>
      <c r="M239" s="3">
        <f t="shared" si="20"/>
        <v>4.6691595835682271</v>
      </c>
      <c r="N239" s="3">
        <f t="shared" si="23"/>
        <v>6.3118451540455922E-3</v>
      </c>
    </row>
    <row r="240" spans="2:14" x14ac:dyDescent="0.3">
      <c r="B240" s="3" t="s">
        <v>267</v>
      </c>
      <c r="C240" s="3">
        <v>0.297252730581052</v>
      </c>
      <c r="D240" s="3">
        <v>178.96693481014299</v>
      </c>
      <c r="E240" s="3">
        <v>107.15639068557</v>
      </c>
      <c r="F240" s="3">
        <v>87.55</v>
      </c>
      <c r="H240" s="3">
        <f t="shared" si="18"/>
        <v>4.4722100587318607</v>
      </c>
      <c r="I240" s="3">
        <f t="shared" si="21"/>
        <v>3.8302802180989914E-2</v>
      </c>
      <c r="J240" s="3">
        <v>0.297252730581052</v>
      </c>
      <c r="K240" s="3">
        <f t="shared" si="19"/>
        <v>5.1872010670465496</v>
      </c>
      <c r="L240" s="3">
        <f t="shared" si="22"/>
        <v>-1.6382795383842463E-3</v>
      </c>
      <c r="M240" s="3">
        <f t="shared" si="20"/>
        <v>4.6742893625635391</v>
      </c>
      <c r="N240" s="3">
        <f t="shared" si="23"/>
        <v>5.1297789953119732E-3</v>
      </c>
    </row>
    <row r="241" spans="2:14" x14ac:dyDescent="0.3">
      <c r="B241" s="3" t="s">
        <v>268</v>
      </c>
      <c r="C241" s="3">
        <v>-1.9978323046254001</v>
      </c>
      <c r="D241" s="3">
        <v>177.723455970728</v>
      </c>
      <c r="E241" s="3">
        <v>107.85759642231299</v>
      </c>
      <c r="F241" s="3">
        <v>84.37</v>
      </c>
      <c r="H241" s="3">
        <f t="shared" si="18"/>
        <v>4.4352118881775358</v>
      </c>
      <c r="I241" s="3">
        <f t="shared" si="21"/>
        <v>-3.6998170554324972E-2</v>
      </c>
      <c r="J241" s="3">
        <v>-1.9978323046254001</v>
      </c>
      <c r="K241" s="3">
        <f t="shared" si="19"/>
        <v>5.180228724033979</v>
      </c>
      <c r="L241" s="3">
        <f t="shared" si="22"/>
        <v>-6.9723430125705477E-3</v>
      </c>
      <c r="M241" s="3">
        <f t="shared" si="20"/>
        <v>4.6808118054248578</v>
      </c>
      <c r="N241" s="3">
        <f t="shared" si="23"/>
        <v>6.5224428613186447E-3</v>
      </c>
    </row>
    <row r="242" spans="2:14" x14ac:dyDescent="0.3">
      <c r="B242" s="3" t="s">
        <v>269</v>
      </c>
      <c r="C242" s="3">
        <v>-6.1527877364945499E-2</v>
      </c>
      <c r="D242" s="3">
        <v>178.01322374453099</v>
      </c>
      <c r="E242" s="3">
        <v>108.614251311761</v>
      </c>
      <c r="F242" s="3">
        <v>76.44</v>
      </c>
      <c r="H242" s="3">
        <f t="shared" si="18"/>
        <v>4.3365061193720722</v>
      </c>
      <c r="I242" s="3">
        <f t="shared" si="21"/>
        <v>-9.8705768805463556E-2</v>
      </c>
      <c r="J242" s="3">
        <v>-6.1527877364945499E-2</v>
      </c>
      <c r="K242" s="3">
        <f t="shared" si="19"/>
        <v>5.18185783823228</v>
      </c>
      <c r="L242" s="3">
        <f t="shared" si="22"/>
        <v>1.6291141983009183E-3</v>
      </c>
      <c r="M242" s="3">
        <f t="shared" si="20"/>
        <v>4.6878026264386969</v>
      </c>
      <c r="N242" s="3">
        <f t="shared" si="23"/>
        <v>6.990821013839188E-3</v>
      </c>
    </row>
    <row r="243" spans="2:14" x14ac:dyDescent="0.3">
      <c r="B243" s="3" t="s">
        <v>270</v>
      </c>
      <c r="C243" s="3">
        <v>2.3885772790883002</v>
      </c>
      <c r="D243" s="3">
        <v>176.49244401197501</v>
      </c>
      <c r="E243" s="3">
        <v>109.009446750341</v>
      </c>
      <c r="F243" s="3">
        <v>78.12</v>
      </c>
      <c r="H243" s="3">
        <f t="shared" si="18"/>
        <v>4.3582461060084778</v>
      </c>
      <c r="I243" s="3">
        <f t="shared" si="21"/>
        <v>2.1739986636405639E-2</v>
      </c>
      <c r="J243" s="3">
        <v>2.3885772790883002</v>
      </c>
      <c r="K243" s="3">
        <f t="shared" si="19"/>
        <v>5.1732780653265182</v>
      </c>
      <c r="L243" s="3">
        <f t="shared" si="22"/>
        <v>-8.5797729057617289E-3</v>
      </c>
      <c r="M243" s="3">
        <f t="shared" si="20"/>
        <v>4.6914345459080593</v>
      </c>
      <c r="N243" s="3">
        <f t="shared" si="23"/>
        <v>3.6319194693623658E-3</v>
      </c>
    </row>
    <row r="244" spans="2:14" x14ac:dyDescent="0.3">
      <c r="B244" s="3" t="s">
        <v>271</v>
      </c>
      <c r="C244" s="3">
        <v>-0.28441300364827699</v>
      </c>
      <c r="D244" s="3">
        <v>177.15495402469799</v>
      </c>
      <c r="E244" s="3">
        <v>109.333401981894</v>
      </c>
      <c r="F244" s="3">
        <v>76.83</v>
      </c>
      <c r="H244" s="3">
        <f t="shared" si="18"/>
        <v>4.3415951888795439</v>
      </c>
      <c r="I244" s="3">
        <f t="shared" si="21"/>
        <v>-1.6650917128933962E-2</v>
      </c>
      <c r="J244" s="3">
        <v>-0.28441300364827699</v>
      </c>
      <c r="K244" s="3">
        <f t="shared" si="19"/>
        <v>5.1770247960612936</v>
      </c>
      <c r="L244" s="3">
        <f t="shared" si="22"/>
        <v>3.7467307347753831E-3</v>
      </c>
      <c r="M244" s="3">
        <f t="shared" si="20"/>
        <v>4.6944019475990135</v>
      </c>
      <c r="N244" s="3">
        <f t="shared" si="23"/>
        <v>2.9674016909542189E-3</v>
      </c>
    </row>
    <row r="245" spans="2:14" x14ac:dyDescent="0.3">
      <c r="B245" s="3" t="s">
        <v>272</v>
      </c>
      <c r="C245" s="3">
        <v>-3.1889320364545899</v>
      </c>
      <c r="D245" s="3">
        <v>177.33604281750601</v>
      </c>
      <c r="E245" s="3">
        <v>110.05860842040001</v>
      </c>
      <c r="F245" s="3">
        <v>73.28</v>
      </c>
      <c r="H245" s="3">
        <f t="shared" si="18"/>
        <v>4.2942877203658751</v>
      </c>
      <c r="I245" s="3">
        <f t="shared" si="21"/>
        <v>-4.7307468513668738E-2</v>
      </c>
      <c r="J245" s="3">
        <v>-3.1889320364545899</v>
      </c>
      <c r="K245" s="3">
        <f t="shared" si="19"/>
        <v>5.178046479602898</v>
      </c>
      <c r="L245" s="3">
        <f t="shared" si="22"/>
        <v>1.0216835416043679E-3</v>
      </c>
      <c r="M245" s="3">
        <f t="shared" si="20"/>
        <v>4.7010130277246756</v>
      </c>
      <c r="N245" s="3">
        <f t="shared" si="23"/>
        <v>6.6110801256620277E-3</v>
      </c>
    </row>
    <row r="246" spans="2:14" x14ac:dyDescent="0.3">
      <c r="B246" s="3" t="s">
        <v>273</v>
      </c>
      <c r="C246" s="3">
        <v>0.126466157891098</v>
      </c>
      <c r="D246" s="3">
        <v>177.12783191592499</v>
      </c>
      <c r="E246" s="3">
        <v>110.719326627237</v>
      </c>
      <c r="F246" s="3">
        <v>79.45</v>
      </c>
      <c r="H246" s="3">
        <f t="shared" si="18"/>
        <v>4.3751278929827251</v>
      </c>
      <c r="I246" s="3">
        <f t="shared" si="21"/>
        <v>8.0840172616849948E-2</v>
      </c>
      <c r="J246" s="3">
        <v>0.126466157891098</v>
      </c>
      <c r="K246" s="3">
        <f t="shared" si="19"/>
        <v>5.1768716861169084</v>
      </c>
      <c r="L246" s="3">
        <f t="shared" si="22"/>
        <v>-1.1747934859895892E-3</v>
      </c>
      <c r="M246" s="3">
        <f t="shared" si="20"/>
        <v>4.7069984100881941</v>
      </c>
      <c r="N246" s="3">
        <f t="shared" si="23"/>
        <v>5.9853823635185321E-3</v>
      </c>
    </row>
    <row r="247" spans="2:14" x14ac:dyDescent="0.3">
      <c r="B247" s="3" t="s">
        <v>274</v>
      </c>
      <c r="C247" s="3">
        <v>-2.9593310677662399</v>
      </c>
      <c r="D247" s="3">
        <v>174.65140795271401</v>
      </c>
      <c r="E247" s="3">
        <v>111.207137001738</v>
      </c>
      <c r="F247" s="3">
        <v>71.58</v>
      </c>
      <c r="H247" s="3">
        <f t="shared" si="18"/>
        <v>4.2708157053378795</v>
      </c>
      <c r="I247" s="3">
        <f t="shared" si="21"/>
        <v>-0.10431218764484562</v>
      </c>
      <c r="J247" s="3">
        <v>-2.9593310677662399</v>
      </c>
      <c r="K247" s="3">
        <f t="shared" si="19"/>
        <v>5.1627920327875616</v>
      </c>
      <c r="L247" s="3">
        <f t="shared" si="22"/>
        <v>-1.4079653329346797E-2</v>
      </c>
      <c r="M247" s="3">
        <f t="shared" si="20"/>
        <v>4.7113945614272321</v>
      </c>
      <c r="N247" s="3">
        <f t="shared" si="23"/>
        <v>4.3961513390380347E-3</v>
      </c>
    </row>
    <row r="248" spans="2:14" x14ac:dyDescent="0.3">
      <c r="B248" s="3" t="s">
        <v>275</v>
      </c>
      <c r="C248" s="3">
        <v>-1.31324586843383</v>
      </c>
      <c r="D248" s="3">
        <v>178.320370228955</v>
      </c>
      <c r="E248" s="3">
        <v>111.21100586044</v>
      </c>
      <c r="F248" s="3">
        <v>70.25</v>
      </c>
      <c r="H248" s="3">
        <f t="shared" si="18"/>
        <v>4.2520603082138555</v>
      </c>
      <c r="I248" s="3">
        <f t="shared" si="21"/>
        <v>-1.8755397124023965E-2</v>
      </c>
      <c r="J248" s="3">
        <v>-1.31324586843383</v>
      </c>
      <c r="K248" s="3">
        <f t="shared" si="19"/>
        <v>5.1835817652809038</v>
      </c>
      <c r="L248" s="3">
        <f t="shared" si="22"/>
        <v>2.078973249334215E-2</v>
      </c>
      <c r="M248" s="3">
        <f t="shared" si="20"/>
        <v>4.7114293504840301</v>
      </c>
      <c r="N248" s="3">
        <f t="shared" si="23"/>
        <v>3.478905679799027E-5</v>
      </c>
    </row>
    <row r="249" spans="2:14" x14ac:dyDescent="0.3">
      <c r="B249" s="3" t="s">
        <v>276</v>
      </c>
      <c r="C249" s="3">
        <v>-0.99910663686732304</v>
      </c>
      <c r="D249" s="3">
        <v>175.698963231568</v>
      </c>
      <c r="E249" s="3">
        <v>111.481891975401</v>
      </c>
      <c r="F249" s="3">
        <v>76.069999999999993</v>
      </c>
      <c r="H249" s="3">
        <f t="shared" si="18"/>
        <v>4.33165396900921</v>
      </c>
      <c r="I249" s="3">
        <f t="shared" si="21"/>
        <v>7.9593660795354459E-2</v>
      </c>
      <c r="J249" s="3">
        <v>-0.99910663686732304</v>
      </c>
      <c r="K249" s="3">
        <f t="shared" si="19"/>
        <v>5.1687720943877533</v>
      </c>
      <c r="L249" s="3">
        <f t="shared" si="22"/>
        <v>-1.4809670893150439E-2</v>
      </c>
      <c r="M249" s="3">
        <f t="shared" si="20"/>
        <v>4.7138621739031841</v>
      </c>
      <c r="N249" s="3">
        <f t="shared" si="23"/>
        <v>2.4328234191539622E-3</v>
      </c>
    </row>
    <row r="250" spans="2:14" x14ac:dyDescent="0.3">
      <c r="B250" s="3" t="s">
        <v>277</v>
      </c>
      <c r="C250" s="3">
        <v>1.5030166457921099</v>
      </c>
      <c r="D250" s="3">
        <v>177.51208014296901</v>
      </c>
      <c r="E250" s="3">
        <v>111.83809927452999</v>
      </c>
      <c r="F250" s="3">
        <v>81.39</v>
      </c>
      <c r="H250" s="3">
        <f t="shared" si="18"/>
        <v>4.3992524153389505</v>
      </c>
      <c r="I250" s="3">
        <f t="shared" si="21"/>
        <v>6.7598446329740547E-2</v>
      </c>
      <c r="J250" s="3">
        <v>1.5030166457921099</v>
      </c>
      <c r="K250" s="3">
        <f t="shared" si="19"/>
        <v>5.1790386637431753</v>
      </c>
      <c r="L250" s="3">
        <f t="shared" si="22"/>
        <v>1.0266569355422028E-2</v>
      </c>
      <c r="M250" s="3">
        <f t="shared" si="20"/>
        <v>4.7170522832993269</v>
      </c>
      <c r="N250" s="3">
        <f t="shared" si="23"/>
        <v>3.1901093961428373E-3</v>
      </c>
    </row>
    <row r="251" spans="2:14" x14ac:dyDescent="0.3">
      <c r="B251" s="3" t="s">
        <v>278</v>
      </c>
      <c r="C251" s="3">
        <v>0.19100065774726199</v>
      </c>
      <c r="D251" s="3">
        <v>177.98791794322599</v>
      </c>
      <c r="E251" s="3">
        <v>111.985073062965</v>
      </c>
      <c r="F251" s="3">
        <v>89.43</v>
      </c>
      <c r="H251" s="3">
        <f t="shared" si="18"/>
        <v>4.4934561963580899</v>
      </c>
      <c r="I251" s="3">
        <f t="shared" si="21"/>
        <v>9.4203781019139399E-2</v>
      </c>
      <c r="J251" s="3">
        <v>0.19100065774726199</v>
      </c>
      <c r="K251" s="3">
        <f t="shared" si="19"/>
        <v>5.1817156712649064</v>
      </c>
      <c r="L251" s="3">
        <f t="shared" si="22"/>
        <v>2.6770075217310563E-3</v>
      </c>
      <c r="M251" s="3">
        <f t="shared" si="20"/>
        <v>4.7183655861895026</v>
      </c>
      <c r="N251" s="3">
        <f t="shared" si="23"/>
        <v>1.3133028901757271E-3</v>
      </c>
    </row>
    <row r="252" spans="2:14" x14ac:dyDescent="0.3">
      <c r="B252" s="3" t="s">
        <v>279</v>
      </c>
      <c r="C252" s="3">
        <v>2.6382489572009602</v>
      </c>
      <c r="D252" s="3">
        <v>177.19858063996199</v>
      </c>
      <c r="E252" s="3">
        <v>111.815884950588</v>
      </c>
      <c r="F252" s="3">
        <v>85.64</v>
      </c>
      <c r="H252" s="3">
        <f t="shared" si="18"/>
        <v>4.4501524637214818</v>
      </c>
      <c r="I252" s="3">
        <f t="shared" si="21"/>
        <v>-4.3303732636608139E-2</v>
      </c>
      <c r="J252" s="3">
        <v>2.6382489572009602</v>
      </c>
      <c r="K252" s="3">
        <f t="shared" si="19"/>
        <v>5.1772710282064063</v>
      </c>
      <c r="L252" s="3">
        <f t="shared" si="22"/>
        <v>-4.4446430585001195E-3</v>
      </c>
      <c r="M252" s="3">
        <f t="shared" si="20"/>
        <v>4.7168536342648189</v>
      </c>
      <c r="N252" s="3">
        <f t="shared" si="23"/>
        <v>-1.5119519246837854E-3</v>
      </c>
    </row>
    <row r="253" spans="2:14" x14ac:dyDescent="0.3">
      <c r="B253" s="3" t="s">
        <v>280</v>
      </c>
      <c r="C253" s="3">
        <v>-1.0230310785027099</v>
      </c>
      <c r="D253" s="3">
        <v>178.43488075164601</v>
      </c>
      <c r="E253" s="3">
        <v>111.78725863949001</v>
      </c>
      <c r="F253" s="3">
        <v>77.69</v>
      </c>
      <c r="H253" s="3">
        <f t="shared" si="18"/>
        <v>4.3527265489623295</v>
      </c>
      <c r="I253" s="3">
        <f t="shared" si="21"/>
        <v>-9.7425914759152299E-2</v>
      </c>
      <c r="J253" s="3">
        <v>-1.0230310785027099</v>
      </c>
      <c r="K253" s="3">
        <f t="shared" si="19"/>
        <v>5.184223720942712</v>
      </c>
      <c r="L253" s="3">
        <f t="shared" si="22"/>
        <v>6.9526927363057212E-3</v>
      </c>
      <c r="M253" s="3">
        <f t="shared" si="20"/>
        <v>4.7165975885689067</v>
      </c>
      <c r="N253" s="3">
        <f t="shared" si="23"/>
        <v>-2.5604569591219928E-4</v>
      </c>
    </row>
    <row r="254" spans="2:14" x14ac:dyDescent="0.3">
      <c r="B254" s="3" t="s">
        <v>281</v>
      </c>
      <c r="C254" s="3">
        <v>-0.10138956983110101</v>
      </c>
      <c r="D254" s="3">
        <v>177.14188123146499</v>
      </c>
      <c r="E254" s="3">
        <v>112.138485266212</v>
      </c>
      <c r="F254" s="3">
        <v>71.900000000000006</v>
      </c>
      <c r="H254" s="3">
        <f t="shared" si="18"/>
        <v>4.2752762647270011</v>
      </c>
      <c r="I254" s="3">
        <f t="shared" si="21"/>
        <v>-7.7450284235328404E-2</v>
      </c>
      <c r="J254" s="3">
        <v>-0.10138956983110101</v>
      </c>
      <c r="K254" s="3">
        <f t="shared" si="19"/>
        <v>5.1769510003513801</v>
      </c>
      <c r="L254" s="3">
        <f t="shared" si="22"/>
        <v>-7.2727205913318826E-3</v>
      </c>
      <c r="M254" s="3">
        <f t="shared" si="20"/>
        <v>4.7197345830798829</v>
      </c>
      <c r="N254" s="3">
        <f t="shared" si="23"/>
        <v>3.1369945109762654E-3</v>
      </c>
    </row>
    <row r="255" spans="2:14" x14ac:dyDescent="0.3">
      <c r="B255" s="3" t="s">
        <v>282</v>
      </c>
      <c r="C255" s="3">
        <v>0.18228784096074899</v>
      </c>
      <c r="D255" s="3">
        <v>179.52406863327201</v>
      </c>
      <c r="E255" s="3">
        <v>112.313918770079</v>
      </c>
      <c r="F255" s="3">
        <v>74.150000000000006</v>
      </c>
      <c r="H255" s="3">
        <f t="shared" si="18"/>
        <v>4.3060900685839414</v>
      </c>
      <c r="I255" s="3">
        <f t="shared" si="21"/>
        <v>3.0813803856940325E-2</v>
      </c>
      <c r="J255" s="3">
        <v>0.18228784096074899</v>
      </c>
      <c r="K255" s="3">
        <f t="shared" si="19"/>
        <v>5.1903092860329005</v>
      </c>
      <c r="L255" s="3">
        <f t="shared" si="22"/>
        <v>1.3358285681520421E-2</v>
      </c>
      <c r="M255" s="3">
        <f t="shared" si="20"/>
        <v>4.7212977968074874</v>
      </c>
      <c r="N255" s="3">
        <f t="shared" si="23"/>
        <v>1.5632137276044844E-3</v>
      </c>
    </row>
    <row r="256" spans="2:14" x14ac:dyDescent="0.3">
      <c r="B256" s="3" t="s">
        <v>283</v>
      </c>
      <c r="C256" s="3">
        <v>1.8472700071745001</v>
      </c>
      <c r="D256" s="3">
        <v>179.644913337373</v>
      </c>
      <c r="E256" s="3">
        <v>112.936752773256</v>
      </c>
      <c r="F256" s="3">
        <v>77.25</v>
      </c>
      <c r="H256" s="3">
        <f t="shared" si="18"/>
        <v>4.3470469157778551</v>
      </c>
      <c r="I256" s="3">
        <f t="shared" si="21"/>
        <v>4.0956847193913681E-2</v>
      </c>
      <c r="J256" s="3">
        <v>1.8472700071745001</v>
      </c>
      <c r="K256" s="3">
        <f t="shared" si="19"/>
        <v>5.1909821988662852</v>
      </c>
      <c r="L256" s="3">
        <f t="shared" si="22"/>
        <v>6.7291283338466457E-4</v>
      </c>
      <c r="M256" s="3">
        <f t="shared" si="20"/>
        <v>4.7268279520450562</v>
      </c>
      <c r="N256" s="3">
        <f t="shared" si="23"/>
        <v>5.5301552375688345E-3</v>
      </c>
    </row>
    <row r="257" spans="2:14" x14ac:dyDescent="0.3">
      <c r="B257" s="3" t="s">
        <v>284</v>
      </c>
      <c r="C257" s="3">
        <v>-4.11231820434854</v>
      </c>
      <c r="D257" s="3">
        <v>180.68944633361801</v>
      </c>
      <c r="E257" s="3">
        <v>113.40645510125999</v>
      </c>
      <c r="F257" s="3">
        <v>81.28</v>
      </c>
      <c r="H257" s="3">
        <f t="shared" si="18"/>
        <v>4.3978999838301718</v>
      </c>
      <c r="I257" s="3">
        <f t="shared" si="21"/>
        <v>5.0853068052316708E-2</v>
      </c>
      <c r="J257" s="3">
        <v>-4.11231820434854</v>
      </c>
      <c r="K257" s="3">
        <f t="shared" si="19"/>
        <v>5.1967797915407177</v>
      </c>
      <c r="L257" s="3">
        <f t="shared" si="22"/>
        <v>5.7975926744324724E-3</v>
      </c>
      <c r="M257" s="3">
        <f t="shared" si="20"/>
        <v>4.7309783129651173</v>
      </c>
      <c r="N257" s="3">
        <f t="shared" si="23"/>
        <v>4.150360920061047E-3</v>
      </c>
    </row>
    <row r="258" spans="2:14" x14ac:dyDescent="0.3">
      <c r="B258" s="3" t="s">
        <v>285</v>
      </c>
      <c r="C258" s="3">
        <v>-0.346070074055775</v>
      </c>
      <c r="D258" s="3">
        <v>182.792476680585</v>
      </c>
      <c r="E258" s="3">
        <v>113.398701995853</v>
      </c>
      <c r="F258" s="3">
        <v>85.35</v>
      </c>
      <c r="H258" s="3">
        <f t="shared" si="18"/>
        <v>4.4467604492404496</v>
      </c>
      <c r="I258" s="3">
        <f t="shared" si="21"/>
        <v>4.8860465410277776E-2</v>
      </c>
      <c r="J258" s="3">
        <v>-0.346070074055775</v>
      </c>
      <c r="K258" s="3">
        <f t="shared" si="19"/>
        <v>5.2083515021588127</v>
      </c>
      <c r="L258" s="3">
        <f t="shared" si="22"/>
        <v>1.1571710618095032E-2</v>
      </c>
      <c r="M258" s="3">
        <f t="shared" si="20"/>
        <v>4.7309099449834608</v>
      </c>
      <c r="N258" s="3">
        <f t="shared" si="23"/>
        <v>-6.8367981656436427E-5</v>
      </c>
    </row>
    <row r="259" spans="2:14" x14ac:dyDescent="0.3">
      <c r="B259" s="3" t="s">
        <v>286</v>
      </c>
      <c r="C259" s="3">
        <v>0.93078059059233798</v>
      </c>
      <c r="D259" s="3">
        <v>184.08269182936499</v>
      </c>
      <c r="E259" s="3">
        <v>113.435074420178</v>
      </c>
      <c r="F259" s="3">
        <v>80.02</v>
      </c>
      <c r="H259" s="3">
        <f t="shared" si="18"/>
        <v>4.382276603429089</v>
      </c>
      <c r="I259" s="3">
        <f t="shared" si="21"/>
        <v>-6.4483845811360574E-2</v>
      </c>
      <c r="J259" s="3">
        <v>0.93078059059233798</v>
      </c>
      <c r="K259" s="3">
        <f t="shared" si="19"/>
        <v>5.215385068769721</v>
      </c>
      <c r="L259" s="3">
        <f t="shared" si="22"/>
        <v>7.0335666109082595E-3</v>
      </c>
      <c r="M259" s="3">
        <f t="shared" si="20"/>
        <v>4.7312306417087138</v>
      </c>
      <c r="N259" s="3">
        <f t="shared" si="23"/>
        <v>3.2069672525292248E-4</v>
      </c>
    </row>
    <row r="260" spans="2:14" x14ac:dyDescent="0.3">
      <c r="B260" s="3" t="s">
        <v>287</v>
      </c>
      <c r="C260" s="3">
        <v>0.57076641285713503</v>
      </c>
      <c r="D260" s="3">
        <v>179.870880095172</v>
      </c>
      <c r="E260" s="3">
        <v>113.749427244499</v>
      </c>
      <c r="F260" s="3">
        <v>79.77</v>
      </c>
      <c r="H260" s="3">
        <f t="shared" ref="H260:H266" si="24">LN(F260)</f>
        <v>4.3791474939230381</v>
      </c>
      <c r="I260" s="3">
        <f t="shared" si="21"/>
        <v>-3.1291095060508312E-3</v>
      </c>
      <c r="J260" s="3">
        <v>0.57076641285713503</v>
      </c>
      <c r="K260" s="3">
        <f t="shared" ref="K260:K266" si="25">LN(D260)</f>
        <v>5.1922392606793295</v>
      </c>
      <c r="L260" s="3">
        <f t="shared" si="22"/>
        <v>-2.3145808090391462E-2</v>
      </c>
      <c r="M260" s="3">
        <f t="shared" ref="M260:M266" si="26">LN(E260)</f>
        <v>4.7339980226051876</v>
      </c>
      <c r="N260" s="3">
        <f t="shared" si="23"/>
        <v>2.7673808964738811E-3</v>
      </c>
    </row>
    <row r="261" spans="2:14" x14ac:dyDescent="0.3">
      <c r="B261" s="3" t="s">
        <v>288</v>
      </c>
      <c r="C261" s="3">
        <v>-0.43750610713203703</v>
      </c>
      <c r="D261" s="3">
        <v>183.44680956619999</v>
      </c>
      <c r="E261" s="3">
        <v>113.85088899322299</v>
      </c>
      <c r="F261" s="3">
        <v>81.8</v>
      </c>
      <c r="H261" s="3">
        <f t="shared" si="24"/>
        <v>4.4042772436087017</v>
      </c>
      <c r="I261" s="3">
        <f t="shared" ref="I261:I266" si="27">H261-H260</f>
        <v>2.5129749685663505E-2</v>
      </c>
      <c r="J261" s="3">
        <v>-0.43750610713203703</v>
      </c>
      <c r="K261" s="3">
        <f t="shared" si="25"/>
        <v>5.2119247593510689</v>
      </c>
      <c r="L261" s="3">
        <f t="shared" ref="L261:L266" si="28">K261-K260</f>
        <v>1.968549867173941E-2</v>
      </c>
      <c r="M261" s="3">
        <f t="shared" si="26"/>
        <v>4.7348896009397192</v>
      </c>
      <c r="N261" s="3">
        <f t="shared" ref="N261:N266" si="29">M261-M260</f>
        <v>8.9157833453157309E-4</v>
      </c>
    </row>
    <row r="262" spans="2:14" x14ac:dyDescent="0.3">
      <c r="B262" s="3" t="s">
        <v>289</v>
      </c>
      <c r="C262" s="3">
        <v>0.38569650096914199</v>
      </c>
      <c r="D262" s="3">
        <v>184.95331532044901</v>
      </c>
      <c r="E262" s="3">
        <v>114.108874033836</v>
      </c>
      <c r="F262" s="3">
        <v>76.680000000000007</v>
      </c>
      <c r="H262" s="3">
        <f t="shared" si="24"/>
        <v>4.3396409181774436</v>
      </c>
      <c r="I262" s="3">
        <f t="shared" si="27"/>
        <v>-6.4636325431258079E-2</v>
      </c>
      <c r="J262" s="3">
        <v>0.38569650096914199</v>
      </c>
      <c r="K262" s="3">
        <f t="shared" si="25"/>
        <v>5.2201034436136071</v>
      </c>
      <c r="L262" s="3">
        <f t="shared" si="28"/>
        <v>8.178684262538205E-3</v>
      </c>
      <c r="M262" s="3">
        <f t="shared" si="26"/>
        <v>4.7371530280228811</v>
      </c>
      <c r="N262" s="3">
        <f t="shared" si="29"/>
        <v>2.2634270831618508E-3</v>
      </c>
    </row>
    <row r="263" spans="2:14" x14ac:dyDescent="0.3">
      <c r="B263" s="3" t="s">
        <v>290</v>
      </c>
      <c r="C263" s="3">
        <v>1.5752760160814501</v>
      </c>
      <c r="D263" s="3">
        <v>184.29874646956199</v>
      </c>
      <c r="E263" s="3">
        <v>113.972518759858</v>
      </c>
      <c r="F263" s="3">
        <v>70.239999999999995</v>
      </c>
      <c r="H263" s="3">
        <f t="shared" si="24"/>
        <v>4.2519179493268613</v>
      </c>
      <c r="I263" s="3">
        <f t="shared" si="27"/>
        <v>-8.7722968850582284E-2</v>
      </c>
      <c r="J263" s="3">
        <v>1.5752760160814501</v>
      </c>
      <c r="K263" s="3">
        <f t="shared" si="25"/>
        <v>5.2165580630767483</v>
      </c>
      <c r="L263" s="3">
        <f t="shared" si="28"/>
        <v>-3.545380536858822E-3</v>
      </c>
      <c r="M263" s="3">
        <f t="shared" si="26"/>
        <v>4.7359573558239996</v>
      </c>
      <c r="N263" s="3">
        <f t="shared" si="29"/>
        <v>-1.1956721988815033E-3</v>
      </c>
    </row>
    <row r="264" spans="2:14" x14ac:dyDescent="0.3">
      <c r="B264" s="3" t="s">
        <v>291</v>
      </c>
      <c r="C264" s="3">
        <v>-0.93770107394324897</v>
      </c>
      <c r="D264" s="3">
        <v>183.97268502509701</v>
      </c>
      <c r="E264" s="3">
        <v>114.064010134283</v>
      </c>
      <c r="F264" s="3">
        <v>71.989999999999995</v>
      </c>
      <c r="H264" s="3">
        <f t="shared" si="24"/>
        <v>4.2765272204812117</v>
      </c>
      <c r="I264" s="3">
        <f t="shared" si="27"/>
        <v>2.4609271154350409E-2</v>
      </c>
      <c r="J264" s="3">
        <v>-0.93770107394324897</v>
      </c>
      <c r="K264" s="3">
        <f t="shared" si="25"/>
        <v>5.2147872956384926</v>
      </c>
      <c r="L264" s="3">
        <f t="shared" si="28"/>
        <v>-1.7707674382556604E-3</v>
      </c>
      <c r="M264" s="3">
        <f t="shared" si="26"/>
        <v>4.7367597832226087</v>
      </c>
      <c r="N264" s="3">
        <f t="shared" si="29"/>
        <v>8.0242739860914014E-4</v>
      </c>
    </row>
    <row r="265" spans="2:14" x14ac:dyDescent="0.3">
      <c r="B265" s="3" t="s">
        <v>292</v>
      </c>
      <c r="C265" s="3">
        <v>-1.1856209929038299</v>
      </c>
      <c r="D265" s="3">
        <v>186.59909664632499</v>
      </c>
      <c r="E265" s="3">
        <v>114.32827594603999</v>
      </c>
      <c r="F265" s="3">
        <v>69.95</v>
      </c>
      <c r="H265" s="3">
        <f t="shared" si="24"/>
        <v>4.2477807011114903</v>
      </c>
      <c r="I265" s="3">
        <f t="shared" si="27"/>
        <v>-2.8746519369721391E-2</v>
      </c>
      <c r="J265" s="3">
        <v>-1.1856209929038299</v>
      </c>
      <c r="K265" s="3">
        <f t="shared" si="25"/>
        <v>5.2289624472778646</v>
      </c>
      <c r="L265" s="3">
        <f t="shared" si="28"/>
        <v>1.4175151639371997E-2</v>
      </c>
      <c r="M265" s="3">
        <f t="shared" si="26"/>
        <v>4.7390739238113859</v>
      </c>
      <c r="N265" s="3">
        <f t="shared" si="29"/>
        <v>2.3141405887772137E-3</v>
      </c>
    </row>
    <row r="266" spans="2:14" x14ac:dyDescent="0.3">
      <c r="B266" s="3" t="s">
        <v>293</v>
      </c>
      <c r="C266" s="3">
        <v>-2.1371837118297599</v>
      </c>
      <c r="D266" s="3">
        <v>185.187196053836</v>
      </c>
      <c r="E266" s="3">
        <v>114.34653609628199</v>
      </c>
      <c r="F266" s="3">
        <v>70.12</v>
      </c>
      <c r="H266" s="3">
        <f t="shared" si="24"/>
        <v>4.2502080600530334</v>
      </c>
      <c r="I266" s="3">
        <f t="shared" si="27"/>
        <v>2.4273589415431118E-3</v>
      </c>
      <c r="J266" s="3">
        <v>-2.1371837118297599</v>
      </c>
      <c r="K266" s="3">
        <f t="shared" si="25"/>
        <v>5.2213671840436673</v>
      </c>
      <c r="L266" s="3">
        <f t="shared" si="28"/>
        <v>-7.5952632341973469E-3</v>
      </c>
      <c r="M266" s="3">
        <f t="shared" si="26"/>
        <v>4.7392336278917586</v>
      </c>
      <c r="N266" s="3">
        <f t="shared" si="29"/>
        <v>1.5970408037269124E-4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0FE8-C1D8-478B-8F6C-2DE43C0E498C}">
  <dimension ref="A1:E193"/>
  <sheetViews>
    <sheetView tabSelected="1" workbookViewId="0">
      <selection activeCell="F10" sqref="F10"/>
    </sheetView>
  </sheetViews>
  <sheetFormatPr baseColWidth="10" defaultRowHeight="14.4" x14ac:dyDescent="0.3"/>
  <sheetData>
    <row r="1" spans="1:5" x14ac:dyDescent="0.3">
      <c r="A1" t="s">
        <v>327</v>
      </c>
      <c r="B1" s="3" t="s">
        <v>318</v>
      </c>
      <c r="C1" s="3" t="s">
        <v>316</v>
      </c>
      <c r="D1" s="3" t="s">
        <v>326</v>
      </c>
      <c r="E1" s="3" t="s">
        <v>325</v>
      </c>
    </row>
    <row r="2" spans="1:5" x14ac:dyDescent="0.3">
      <c r="A2" s="3" t="s">
        <v>42</v>
      </c>
      <c r="B2">
        <v>6.5646683742591083E-2</v>
      </c>
      <c r="C2">
        <v>0.81945915611543196</v>
      </c>
      <c r="D2">
        <v>3.0420759914838946E-2</v>
      </c>
      <c r="E2">
        <v>6.0553279251642778E-3</v>
      </c>
    </row>
    <row r="3" spans="1:5" x14ac:dyDescent="0.3">
      <c r="A3" s="3" t="s">
        <v>43</v>
      </c>
      <c r="B3">
        <v>1.1014604111299953E-2</v>
      </c>
      <c r="C3">
        <v>-0.63799034470282001</v>
      </c>
      <c r="D3">
        <v>1.0792136442328903E-2</v>
      </c>
      <c r="E3">
        <v>9.7783319923117062E-3</v>
      </c>
    </row>
    <row r="4" spans="1:5" x14ac:dyDescent="0.3">
      <c r="A4" s="3" t="s">
        <v>44</v>
      </c>
      <c r="B4">
        <v>5.7414618805321282E-2</v>
      </c>
      <c r="C4">
        <v>-1.0351564566307001</v>
      </c>
      <c r="D4">
        <v>1.1560247649600619E-2</v>
      </c>
      <c r="E4">
        <v>1.0317832404105332E-4</v>
      </c>
    </row>
    <row r="5" spans="1:5" x14ac:dyDescent="0.3">
      <c r="A5" s="3" t="s">
        <v>45</v>
      </c>
      <c r="B5">
        <v>2.7214587186596972E-4</v>
      </c>
      <c r="C5">
        <v>0.38636798617232898</v>
      </c>
      <c r="D5">
        <v>5.9290330586492246E-3</v>
      </c>
      <c r="E5">
        <v>-2.1998602768835696E-4</v>
      </c>
    </row>
    <row r="6" spans="1:5" x14ac:dyDescent="0.3">
      <c r="A6" s="3" t="s">
        <v>46</v>
      </c>
      <c r="B6">
        <v>9.171684219151599E-2</v>
      </c>
      <c r="C6">
        <v>-0.67518620695356302</v>
      </c>
      <c r="D6">
        <v>-6.8283369098676161E-4</v>
      </c>
      <c r="E6">
        <v>4.5934037342743039E-3</v>
      </c>
    </row>
    <row r="7" spans="1:5" x14ac:dyDescent="0.3">
      <c r="A7" s="3" t="s">
        <v>47</v>
      </c>
      <c r="B7">
        <v>-5.7479745910193447E-2</v>
      </c>
      <c r="C7">
        <v>-0.60603088754537704</v>
      </c>
      <c r="D7">
        <v>-1.6742049105626933E-3</v>
      </c>
      <c r="E7">
        <v>6.8090421032787063E-3</v>
      </c>
    </row>
    <row r="8" spans="1:5" x14ac:dyDescent="0.3">
      <c r="A8" s="3" t="s">
        <v>48</v>
      </c>
      <c r="B8">
        <v>6.9816443206140999E-2</v>
      </c>
      <c r="C8">
        <v>-0.86079985559337402</v>
      </c>
      <c r="D8">
        <v>5.0926788774452447E-3</v>
      </c>
      <c r="E8">
        <v>1.7692192684481967E-3</v>
      </c>
    </row>
    <row r="9" spans="1:5" x14ac:dyDescent="0.3">
      <c r="A9" s="3" t="s">
        <v>49</v>
      </c>
      <c r="B9">
        <v>9.624602960189943E-2</v>
      </c>
      <c r="C9">
        <v>-0.96555064780558297</v>
      </c>
      <c r="D9">
        <v>6.3751961514340039E-3</v>
      </c>
      <c r="E9">
        <v>4.8275056055935295E-4</v>
      </c>
    </row>
    <row r="10" spans="1:5" x14ac:dyDescent="0.3">
      <c r="A10" s="3" t="s">
        <v>50</v>
      </c>
      <c r="B10">
        <v>2.2898402512743665E-2</v>
      </c>
      <c r="C10">
        <v>-0.12529466781556201</v>
      </c>
      <c r="D10">
        <v>1.1166004516447892E-2</v>
      </c>
      <c r="E10">
        <v>2.2649442868427627E-4</v>
      </c>
    </row>
    <row r="11" spans="1:5" x14ac:dyDescent="0.3">
      <c r="A11" s="3" t="s">
        <v>51</v>
      </c>
      <c r="B11">
        <v>0.14822482897118139</v>
      </c>
      <c r="C11">
        <v>-0.16960845633055899</v>
      </c>
      <c r="D11">
        <v>-1.5876437149264788E-3</v>
      </c>
      <c r="E11">
        <v>3.0626793373844663E-4</v>
      </c>
    </row>
    <row r="12" spans="1:5" x14ac:dyDescent="0.3">
      <c r="A12" s="3" t="s">
        <v>52</v>
      </c>
      <c r="B12">
        <v>-9.4615976374849087E-2</v>
      </c>
      <c r="C12">
        <v>0.67929924314760903</v>
      </c>
      <c r="D12">
        <v>-3.9216514663653612E-3</v>
      </c>
      <c r="E12">
        <v>4.6497288495759292E-3</v>
      </c>
    </row>
    <row r="13" spans="1:5" x14ac:dyDescent="0.3">
      <c r="A13" s="3" t="s">
        <v>53</v>
      </c>
      <c r="B13">
        <v>-0.11626263232784773</v>
      </c>
      <c r="C13">
        <v>3.3604483504312103E-2</v>
      </c>
      <c r="D13">
        <v>1.4558893182889499E-2</v>
      </c>
      <c r="E13">
        <v>-3.5020266880358975E-4</v>
      </c>
    </row>
    <row r="14" spans="1:5" x14ac:dyDescent="0.3">
      <c r="A14" s="3" t="s">
        <v>54</v>
      </c>
      <c r="B14">
        <v>8.2055121200079739E-2</v>
      </c>
      <c r="C14">
        <v>-0.34737747806381197</v>
      </c>
      <c r="D14">
        <v>4.2628652971297143E-3</v>
      </c>
      <c r="E14">
        <v>1.6779734351572984E-3</v>
      </c>
    </row>
    <row r="15" spans="1:5" x14ac:dyDescent="0.3">
      <c r="A15" s="3" t="s">
        <v>55</v>
      </c>
      <c r="B15">
        <v>2.7583599514617863E-2</v>
      </c>
      <c r="C15">
        <v>0.87751663841381999</v>
      </c>
      <c r="D15">
        <v>1.9881324631729314E-2</v>
      </c>
      <c r="E15">
        <v>-3.3153200859974419E-3</v>
      </c>
    </row>
    <row r="16" spans="1:5" x14ac:dyDescent="0.3">
      <c r="A16" s="3" t="s">
        <v>56</v>
      </c>
      <c r="B16">
        <v>0.11817525133388829</v>
      </c>
      <c r="C16">
        <v>-0.56354245890977095</v>
      </c>
      <c r="D16">
        <v>-2.7589077855010302E-2</v>
      </c>
      <c r="E16">
        <v>2.0197217143236301E-3</v>
      </c>
    </row>
    <row r="17" spans="1:5" x14ac:dyDescent="0.3">
      <c r="A17" s="3" t="s">
        <v>57</v>
      </c>
      <c r="B17">
        <v>-2.2581905734099017E-2</v>
      </c>
      <c r="C17">
        <v>-0.100215665144781</v>
      </c>
      <c r="D17">
        <v>2.5150437416547433E-2</v>
      </c>
      <c r="E17">
        <v>1.2000597575978489E-3</v>
      </c>
    </row>
    <row r="18" spans="1:5" x14ac:dyDescent="0.3">
      <c r="A18" s="3" t="s">
        <v>58</v>
      </c>
      <c r="B18">
        <v>-6.1297271550610599E-2</v>
      </c>
      <c r="C18">
        <v>-0.25895325369495897</v>
      </c>
      <c r="D18">
        <v>1.0200695945969507E-2</v>
      </c>
      <c r="E18">
        <v>2.3460442378766544E-3</v>
      </c>
    </row>
    <row r="19" spans="1:5" x14ac:dyDescent="0.3">
      <c r="A19" s="3" t="s">
        <v>59</v>
      </c>
      <c r="B19">
        <v>0.12296502819247213</v>
      </c>
      <c r="C19">
        <v>-1.0951296090931</v>
      </c>
      <c r="D19">
        <v>-1.3869749336699044E-3</v>
      </c>
      <c r="E19">
        <v>3.7653797103889275E-3</v>
      </c>
    </row>
    <row r="20" spans="1:5" x14ac:dyDescent="0.3">
      <c r="A20" s="3" t="s">
        <v>60</v>
      </c>
      <c r="B20">
        <v>4.5955203419934421E-2</v>
      </c>
      <c r="C20">
        <v>0.13326513587143701</v>
      </c>
      <c r="D20">
        <v>7.6862077894750414E-3</v>
      </c>
      <c r="E20">
        <v>8.0836151821550573E-4</v>
      </c>
    </row>
    <row r="21" spans="1:5" x14ac:dyDescent="0.3">
      <c r="A21" s="3" t="s">
        <v>61</v>
      </c>
      <c r="B21">
        <v>9.6695968000537924E-2</v>
      </c>
      <c r="C21">
        <v>1.85677088349374</v>
      </c>
      <c r="D21">
        <v>-3.091553056579599E-3</v>
      </c>
      <c r="E21">
        <v>-1.2639655728809984E-3</v>
      </c>
    </row>
    <row r="22" spans="1:5" x14ac:dyDescent="0.3">
      <c r="A22" s="3" t="s">
        <v>62</v>
      </c>
      <c r="B22">
        <v>9.1898333993869485E-3</v>
      </c>
      <c r="C22">
        <v>2.56880994272271</v>
      </c>
      <c r="D22">
        <v>9.8192785674919847E-3</v>
      </c>
      <c r="E22">
        <v>-8.1877705150557034E-4</v>
      </c>
    </row>
    <row r="23" spans="1:5" x14ac:dyDescent="0.3">
      <c r="A23" s="3" t="s">
        <v>63</v>
      </c>
      <c r="B23">
        <v>-5.2104080292182609E-2</v>
      </c>
      <c r="C23">
        <v>1.9077919982309699</v>
      </c>
      <c r="D23">
        <v>6.8974083801922603E-3</v>
      </c>
      <c r="E23">
        <v>2.0428466850042071E-3</v>
      </c>
    </row>
    <row r="24" spans="1:5" x14ac:dyDescent="0.3">
      <c r="A24" s="3" t="s">
        <v>64</v>
      </c>
      <c r="B24">
        <v>-6.5374077313059331E-2</v>
      </c>
      <c r="C24">
        <v>-0.72678399485641398</v>
      </c>
      <c r="D24">
        <v>2.2293793726341882E-2</v>
      </c>
      <c r="E24">
        <v>2.4638291525924672E-3</v>
      </c>
    </row>
    <row r="25" spans="1:5" x14ac:dyDescent="0.3">
      <c r="A25" s="3" t="s">
        <v>65</v>
      </c>
      <c r="B25">
        <v>1.8517474667246958E-2</v>
      </c>
      <c r="C25">
        <v>1.2985681368323401</v>
      </c>
      <c r="D25">
        <v>-1.328202911619325E-2</v>
      </c>
      <c r="E25">
        <v>3.8972887596768757E-3</v>
      </c>
    </row>
    <row r="26" spans="1:5" x14ac:dyDescent="0.3">
      <c r="A26" s="3" t="s">
        <v>66</v>
      </c>
      <c r="B26">
        <v>9.7434896862312215E-2</v>
      </c>
      <c r="C26">
        <v>-4.0149278006564197E-2</v>
      </c>
      <c r="D26">
        <v>1.9081629591708449E-2</v>
      </c>
      <c r="E26">
        <v>5.645043937396288E-3</v>
      </c>
    </row>
    <row r="27" spans="1:5" x14ac:dyDescent="0.3">
      <c r="A27" s="3" t="s">
        <v>67</v>
      </c>
      <c r="B27">
        <v>-6.074869425581042E-2</v>
      </c>
      <c r="C27">
        <v>-3.2055724764512799</v>
      </c>
      <c r="D27">
        <v>3.8138721316034463E-3</v>
      </c>
      <c r="E27">
        <v>4.5363498278083725E-3</v>
      </c>
    </row>
    <row r="28" spans="1:5" x14ac:dyDescent="0.3">
      <c r="A28" s="3" t="s">
        <v>68</v>
      </c>
      <c r="B28">
        <v>1.7053180311725313E-2</v>
      </c>
      <c r="C28">
        <v>1.03427871229954</v>
      </c>
      <c r="D28">
        <v>1.8488592069137333E-2</v>
      </c>
      <c r="E28">
        <v>1.1862592664257932E-4</v>
      </c>
    </row>
    <row r="29" spans="1:5" x14ac:dyDescent="0.3">
      <c r="A29" s="3" t="s">
        <v>69</v>
      </c>
      <c r="B29">
        <v>0.10226112506621821</v>
      </c>
      <c r="C29">
        <v>0.108058457324139</v>
      </c>
      <c r="D29">
        <v>-8.7137593906394528E-3</v>
      </c>
      <c r="E29">
        <v>5.1151617561444596E-3</v>
      </c>
    </row>
    <row r="30" spans="1:5" x14ac:dyDescent="0.3">
      <c r="A30" s="3" t="s">
        <v>70</v>
      </c>
      <c r="B30">
        <v>1.9960742562537881E-2</v>
      </c>
      <c r="C30">
        <v>-0.16129036363733701</v>
      </c>
      <c r="D30">
        <v>1.5730076878561761E-3</v>
      </c>
      <c r="E30">
        <v>-4.1866582431566712E-3</v>
      </c>
    </row>
    <row r="31" spans="1:5" x14ac:dyDescent="0.3">
      <c r="A31" s="3" t="s">
        <v>71</v>
      </c>
      <c r="B31">
        <v>1.5515906914185251E-3</v>
      </c>
      <c r="C31">
        <v>-1.17520416716969</v>
      </c>
      <c r="D31">
        <v>9.9066892598704825E-3</v>
      </c>
      <c r="E31">
        <v>-2.1404553454562603E-4</v>
      </c>
    </row>
    <row r="32" spans="1:5" x14ac:dyDescent="0.3">
      <c r="A32" s="3" t="s">
        <v>72</v>
      </c>
      <c r="B32">
        <v>4.7614937803118096E-2</v>
      </c>
      <c r="C32">
        <v>-0.28196654333030102</v>
      </c>
      <c r="D32">
        <v>-3.7179515198690893E-3</v>
      </c>
      <c r="E32">
        <v>-2.0364641369807757E-3</v>
      </c>
    </row>
    <row r="33" spans="1:5" x14ac:dyDescent="0.3">
      <c r="A33" s="3" t="s">
        <v>73</v>
      </c>
      <c r="B33">
        <v>-1.8583105122456089E-2</v>
      </c>
      <c r="C33">
        <v>0.29436624295816499</v>
      </c>
      <c r="D33">
        <v>1.8520825217435366E-2</v>
      </c>
      <c r="E33">
        <v>1.8516186732995266E-3</v>
      </c>
    </row>
    <row r="34" spans="1:5" x14ac:dyDescent="0.3">
      <c r="A34" s="3" t="s">
        <v>74</v>
      </c>
      <c r="B34">
        <v>-0.13525404593596946</v>
      </c>
      <c r="C34">
        <v>0.59906723136962703</v>
      </c>
      <c r="D34">
        <v>-6.9569266494609039E-3</v>
      </c>
      <c r="E34">
        <v>4.3247645749922015E-4</v>
      </c>
    </row>
    <row r="35" spans="1:5" x14ac:dyDescent="0.3">
      <c r="A35" s="3" t="s">
        <v>75</v>
      </c>
      <c r="B35">
        <v>-8.0081893394264192E-2</v>
      </c>
      <c r="C35">
        <v>-0.21806124670983601</v>
      </c>
      <c r="D35">
        <v>1.0710755319219167E-2</v>
      </c>
      <c r="E35">
        <v>1.0863226387520797E-3</v>
      </c>
    </row>
    <row r="36" spans="1:5" x14ac:dyDescent="0.3">
      <c r="A36" s="3" t="s">
        <v>76</v>
      </c>
      <c r="B36">
        <v>3.2211607066994219E-3</v>
      </c>
      <c r="C36">
        <v>0.57831316097924201</v>
      </c>
      <c r="D36">
        <v>1.0087607309170465E-3</v>
      </c>
      <c r="E36">
        <v>-1.0277460289662699E-3</v>
      </c>
    </row>
    <row r="37" spans="1:5" x14ac:dyDescent="0.3">
      <c r="A37" s="3" t="s">
        <v>77</v>
      </c>
      <c r="B37">
        <v>4.7596557885488444E-2</v>
      </c>
      <c r="C37">
        <v>0.67305574950392599</v>
      </c>
      <c r="D37">
        <v>9.9673879874710991E-3</v>
      </c>
      <c r="E37">
        <v>-3.9691502947469814E-5</v>
      </c>
    </row>
    <row r="38" spans="1:5" x14ac:dyDescent="0.3">
      <c r="A38" s="3" t="s">
        <v>78</v>
      </c>
      <c r="B38">
        <v>-0.12810484447247816</v>
      </c>
      <c r="C38">
        <v>-0.40721446979183201</v>
      </c>
      <c r="D38">
        <v>1.6733134305526143E-2</v>
      </c>
      <c r="E38">
        <v>7.9058908695017749E-4</v>
      </c>
    </row>
    <row r="39" spans="1:5" x14ac:dyDescent="0.3">
      <c r="A39" s="3" t="s">
        <v>79</v>
      </c>
      <c r="B39">
        <v>8.3887809911642464E-2</v>
      </c>
      <c r="C39">
        <v>0.65016608623708105</v>
      </c>
      <c r="D39">
        <v>1.2504396497874382E-3</v>
      </c>
      <c r="E39">
        <v>1.7162601806681721E-3</v>
      </c>
    </row>
    <row r="40" spans="1:5" x14ac:dyDescent="0.3">
      <c r="A40" s="3" t="s">
        <v>80</v>
      </c>
      <c r="B40">
        <v>1.9379156416706955E-2</v>
      </c>
      <c r="C40">
        <v>9.6415003455277204E-2</v>
      </c>
      <c r="D40">
        <v>1.5575050868083196E-2</v>
      </c>
      <c r="E40">
        <v>-9.4673739355410902E-4</v>
      </c>
    </row>
    <row r="41" spans="1:5" x14ac:dyDescent="0.3">
      <c r="A41" s="3" t="s">
        <v>81</v>
      </c>
      <c r="B41">
        <v>5.6919397116833359E-2</v>
      </c>
      <c r="C41">
        <v>0.81585836976340498</v>
      </c>
      <c r="D41">
        <v>-3.9103362306178724E-3</v>
      </c>
      <c r="E41">
        <v>1.8543806276207775E-3</v>
      </c>
    </row>
    <row r="42" spans="1:5" x14ac:dyDescent="0.3">
      <c r="A42" s="3" t="s">
        <v>82</v>
      </c>
      <c r="B42">
        <v>-8.1607483663228564E-3</v>
      </c>
      <c r="C42">
        <v>0.38468945712587099</v>
      </c>
      <c r="D42">
        <v>3.0803209359181238E-2</v>
      </c>
      <c r="E42">
        <v>5.9971447425892777E-3</v>
      </c>
    </row>
    <row r="43" spans="1:5" x14ac:dyDescent="0.3">
      <c r="A43" s="3" t="s">
        <v>83</v>
      </c>
      <c r="B43">
        <v>6.1569652600265812E-2</v>
      </c>
      <c r="C43">
        <v>0.243611701056868</v>
      </c>
      <c r="D43">
        <v>-9.6588429705928291E-3</v>
      </c>
      <c r="E43">
        <v>5.7653259242069765E-3</v>
      </c>
    </row>
    <row r="44" spans="1:5" x14ac:dyDescent="0.3">
      <c r="A44" s="3" t="s">
        <v>84</v>
      </c>
      <c r="B44">
        <v>9.3705962661844389E-2</v>
      </c>
      <c r="C44">
        <v>0.55232833754251798</v>
      </c>
      <c r="D44">
        <v>6.4065349432729235E-3</v>
      </c>
      <c r="E44">
        <v>4.2969488339039685E-3</v>
      </c>
    </row>
    <row r="45" spans="1:5" x14ac:dyDescent="0.3">
      <c r="A45" s="3" t="s">
        <v>85</v>
      </c>
      <c r="B45">
        <v>-2.4031740890064768E-2</v>
      </c>
      <c r="C45">
        <v>-8.47327520806129E-2</v>
      </c>
      <c r="D45">
        <v>4.3323805996573483E-3</v>
      </c>
      <c r="E45">
        <v>1.7518430313678834E-3</v>
      </c>
    </row>
    <row r="46" spans="1:5" x14ac:dyDescent="0.3">
      <c r="A46" s="3" t="s">
        <v>86</v>
      </c>
      <c r="B46">
        <v>9.9372473813203577E-2</v>
      </c>
      <c r="C46">
        <v>-0.113523740031823</v>
      </c>
      <c r="D46">
        <v>3.0501949039569709E-3</v>
      </c>
      <c r="E46">
        <v>6.3028803293789792E-3</v>
      </c>
    </row>
    <row r="47" spans="1:5" x14ac:dyDescent="0.3">
      <c r="A47" s="3" t="s">
        <v>87</v>
      </c>
      <c r="B47">
        <v>7.0992872153618158E-2</v>
      </c>
      <c r="C47">
        <v>-2.4733947369703499</v>
      </c>
      <c r="D47">
        <v>1.1349607784090665E-2</v>
      </c>
      <c r="E47">
        <v>3.8374104259268904E-3</v>
      </c>
    </row>
    <row r="48" spans="1:5" x14ac:dyDescent="0.3">
      <c r="A48" s="3" t="s">
        <v>88</v>
      </c>
      <c r="B48">
        <v>9.9433896988187165E-2</v>
      </c>
      <c r="C48">
        <v>0.80803294482657995</v>
      </c>
      <c r="D48">
        <v>1.4797454343007388E-2</v>
      </c>
      <c r="E48">
        <v>2.9009321686759293E-3</v>
      </c>
    </row>
    <row r="49" spans="1:5" x14ac:dyDescent="0.3">
      <c r="A49" s="3" t="s">
        <v>89</v>
      </c>
      <c r="B49">
        <v>-3.3039581420294617E-2</v>
      </c>
      <c r="C49">
        <v>-0.72545501776861998</v>
      </c>
      <c r="D49">
        <v>8.0482142947779778E-3</v>
      </c>
      <c r="E49">
        <v>4.202827332171033E-3</v>
      </c>
    </row>
    <row r="50" spans="1:5" x14ac:dyDescent="0.3">
      <c r="A50" s="3" t="s">
        <v>90</v>
      </c>
      <c r="B50">
        <v>1.3863538405957776E-2</v>
      </c>
      <c r="C50">
        <v>0.40000895712331203</v>
      </c>
      <c r="D50">
        <v>8.7992103759706453E-3</v>
      </c>
      <c r="E50">
        <v>2.9463726480090102E-3</v>
      </c>
    </row>
    <row r="51" spans="1:5" x14ac:dyDescent="0.3">
      <c r="A51" s="3" t="s">
        <v>91</v>
      </c>
      <c r="B51">
        <v>2.5696890689349772E-2</v>
      </c>
      <c r="C51">
        <v>-0.40015498579127301</v>
      </c>
      <c r="D51">
        <v>1.9378856072010286E-2</v>
      </c>
      <c r="E51">
        <v>8.22367571334226E-3</v>
      </c>
    </row>
    <row r="52" spans="1:5" x14ac:dyDescent="0.3">
      <c r="A52" s="3" t="s">
        <v>92</v>
      </c>
      <c r="B52">
        <v>0.1002631557676672</v>
      </c>
      <c r="C52">
        <v>-2.5093626722868101</v>
      </c>
      <c r="D52">
        <v>-2.0556105002178526E-4</v>
      </c>
      <c r="E52">
        <v>5.9150160785303996E-3</v>
      </c>
    </row>
    <row r="53" spans="1:5" x14ac:dyDescent="0.3">
      <c r="A53" s="3" t="s">
        <v>93</v>
      </c>
      <c r="B53">
        <v>6.5427173111096693E-2</v>
      </c>
      <c r="C53">
        <v>-1.4512833926487101</v>
      </c>
      <c r="D53">
        <v>1.4882009687446462E-2</v>
      </c>
      <c r="E53">
        <v>1.6630230125986856E-3</v>
      </c>
    </row>
    <row r="54" spans="1:5" x14ac:dyDescent="0.3">
      <c r="A54" s="3" t="s">
        <v>94</v>
      </c>
      <c r="B54">
        <v>0.10784454816293998</v>
      </c>
      <c r="C54">
        <v>1.5110556600618501</v>
      </c>
      <c r="D54">
        <v>-8.5445216859483253E-3</v>
      </c>
      <c r="E54">
        <v>4.7851698647161101E-3</v>
      </c>
    </row>
    <row r="55" spans="1:5" x14ac:dyDescent="0.3">
      <c r="A55" s="3" t="s">
        <v>95</v>
      </c>
      <c r="B55">
        <v>6.5435248144305014E-2</v>
      </c>
      <c r="C55">
        <v>2.9519086081756201</v>
      </c>
      <c r="D55">
        <v>1.7421987399601768E-2</v>
      </c>
      <c r="E55">
        <v>8.756978905857693E-3</v>
      </c>
    </row>
    <row r="56" spans="1:5" x14ac:dyDescent="0.3">
      <c r="A56" s="3" t="s">
        <v>96</v>
      </c>
      <c r="B56">
        <v>-3.8166557088219477E-3</v>
      </c>
      <c r="C56">
        <v>-1.15452166312347</v>
      </c>
      <c r="D56">
        <v>3.7576695639174318E-4</v>
      </c>
      <c r="E56">
        <v>4.9737645114946716E-3</v>
      </c>
    </row>
    <row r="57" spans="1:5" x14ac:dyDescent="0.3">
      <c r="A57" s="3" t="s">
        <v>97</v>
      </c>
      <c r="B57">
        <v>-0.13377778379853744</v>
      </c>
      <c r="C57">
        <v>-0.35657512194132601</v>
      </c>
      <c r="D57">
        <v>-3.4701110896699916E-3</v>
      </c>
      <c r="E57">
        <v>6.1860960014419319E-3</v>
      </c>
    </row>
    <row r="58" spans="1:5" x14ac:dyDescent="0.3">
      <c r="A58" s="3" t="s">
        <v>98</v>
      </c>
      <c r="B58">
        <v>-0.11390140434910467</v>
      </c>
      <c r="C58">
        <v>0.19322032473564399</v>
      </c>
      <c r="D58">
        <v>9.4588119129657144E-3</v>
      </c>
      <c r="E58">
        <v>5.909045924501477E-3</v>
      </c>
    </row>
    <row r="59" spans="1:5" x14ac:dyDescent="0.3">
      <c r="A59" s="3" t="s">
        <v>99</v>
      </c>
      <c r="B59">
        <v>-0.30672041595793154</v>
      </c>
      <c r="C59">
        <v>-1.0753988858026999</v>
      </c>
      <c r="D59">
        <v>-2.8578077028216242E-3</v>
      </c>
      <c r="E59">
        <v>6.8706873238886246E-3</v>
      </c>
    </row>
    <row r="60" spans="1:5" x14ac:dyDescent="0.3">
      <c r="A60" s="3" t="s">
        <v>100</v>
      </c>
      <c r="B60">
        <v>-0.29025248796508407</v>
      </c>
      <c r="C60">
        <v>-1.76268037435623</v>
      </c>
      <c r="D60">
        <v>6.3287457240601697E-4</v>
      </c>
      <c r="E60">
        <v>4.8482093617163713E-3</v>
      </c>
    </row>
    <row r="61" spans="1:5" x14ac:dyDescent="0.3">
      <c r="A61" s="3" t="s">
        <v>101</v>
      </c>
      <c r="B61">
        <v>-0.33198050741673635</v>
      </c>
      <c r="C61">
        <v>0.516783640520318</v>
      </c>
      <c r="D61">
        <v>-1.0493001062707563E-2</v>
      </c>
      <c r="E61">
        <v>3.2441526616686645E-3</v>
      </c>
    </row>
    <row r="62" spans="1:5" x14ac:dyDescent="0.3">
      <c r="A62" s="3" t="s">
        <v>102</v>
      </c>
      <c r="B62">
        <v>1.4246287061944418E-2</v>
      </c>
      <c r="C62">
        <v>1.6462799148475</v>
      </c>
      <c r="D62">
        <v>1.0504939272359515E-2</v>
      </c>
      <c r="E62">
        <v>1.7952385512343128E-3</v>
      </c>
    </row>
    <row r="63" spans="1:5" x14ac:dyDescent="0.3">
      <c r="A63" s="3" t="s">
        <v>103</v>
      </c>
      <c r="B63">
        <v>-6.4874228403990486E-2</v>
      </c>
      <c r="C63">
        <v>1.86962275451874</v>
      </c>
      <c r="D63">
        <v>-5.9869116528341593E-3</v>
      </c>
      <c r="E63">
        <v>-1.460358399631545E-3</v>
      </c>
    </row>
    <row r="64" spans="1:5" x14ac:dyDescent="0.3">
      <c r="A64" s="3" t="s">
        <v>104</v>
      </c>
      <c r="B64">
        <v>0.20408354920137484</v>
      </c>
      <c r="C64">
        <v>-2.6559523505525302</v>
      </c>
      <c r="D64">
        <v>-1.1606875209316136E-2</v>
      </c>
      <c r="E64">
        <v>-8.775575501100974E-4</v>
      </c>
    </row>
    <row r="65" spans="1:5" x14ac:dyDescent="0.3">
      <c r="A65" s="3" t="s">
        <v>105</v>
      </c>
      <c r="B65">
        <v>3.5048161484943385E-2</v>
      </c>
      <c r="C65">
        <v>-1.3292903580085</v>
      </c>
      <c r="D65">
        <v>8.254734848033074E-3</v>
      </c>
      <c r="E65">
        <v>3.1650406183825197E-4</v>
      </c>
    </row>
    <row r="66" spans="1:5" x14ac:dyDescent="0.3">
      <c r="A66" s="3" t="s">
        <v>106</v>
      </c>
      <c r="B66">
        <v>0.17304739876141628</v>
      </c>
      <c r="C66">
        <v>-1.08405701770105</v>
      </c>
      <c r="D66">
        <v>1.2452110116043968E-2</v>
      </c>
      <c r="E66">
        <v>6.7459466522823419E-4</v>
      </c>
    </row>
    <row r="67" spans="1:5" x14ac:dyDescent="0.3">
      <c r="A67" s="3" t="s">
        <v>107</v>
      </c>
      <c r="B67">
        <v>0.16529332564739008</v>
      </c>
      <c r="C67">
        <v>1.28503727402968</v>
      </c>
      <c r="D67">
        <v>-3.4840868589171237E-2</v>
      </c>
      <c r="E67">
        <v>-2.2681172353165024E-3</v>
      </c>
    </row>
    <row r="68" spans="1:5" x14ac:dyDescent="0.3">
      <c r="A68" s="3" t="s">
        <v>108</v>
      </c>
      <c r="B68">
        <v>-8.2115023838342793E-2</v>
      </c>
      <c r="C68">
        <v>0.91226869878747396</v>
      </c>
      <c r="D68">
        <v>1.4643504312752853E-2</v>
      </c>
      <c r="E68">
        <v>1.1921006160138248E-3</v>
      </c>
    </row>
    <row r="69" spans="1:5" x14ac:dyDescent="0.3">
      <c r="A69" s="3" t="s">
        <v>109</v>
      </c>
      <c r="B69">
        <v>0.10215976348146416</v>
      </c>
      <c r="C69">
        <v>-0.86157585423917205</v>
      </c>
      <c r="D69">
        <v>1.8106248017869753E-2</v>
      </c>
      <c r="E69">
        <v>-1.8586977659502679E-3</v>
      </c>
    </row>
    <row r="70" spans="1:5" x14ac:dyDescent="0.3">
      <c r="A70" s="3" t="s">
        <v>110</v>
      </c>
      <c r="B70">
        <v>-2.3352905191616813E-2</v>
      </c>
      <c r="C70">
        <v>-0.55202450511266099</v>
      </c>
      <c r="D70">
        <v>2.730774079512166E-3</v>
      </c>
      <c r="E70">
        <v>-5.378069364780913E-4</v>
      </c>
    </row>
    <row r="71" spans="1:5" x14ac:dyDescent="0.3">
      <c r="A71" s="3" t="s">
        <v>111</v>
      </c>
      <c r="B71">
        <v>8.7011376989629241E-2</v>
      </c>
      <c r="C71">
        <v>-0.32072994476658201</v>
      </c>
      <c r="D71">
        <v>1.0265383236567338E-2</v>
      </c>
      <c r="E71">
        <v>2.0738776177662288E-3</v>
      </c>
    </row>
    <row r="72" spans="1:5" x14ac:dyDescent="0.3">
      <c r="A72" s="3" t="s">
        <v>112</v>
      </c>
      <c r="B72">
        <v>2.953828700128458E-2</v>
      </c>
      <c r="C72">
        <v>1.2292250859642</v>
      </c>
      <c r="D72">
        <v>9.4196132696282575E-3</v>
      </c>
      <c r="E72">
        <v>6.2604923969633575E-4</v>
      </c>
    </row>
    <row r="73" spans="1:5" x14ac:dyDescent="0.3">
      <c r="A73" s="3" t="s">
        <v>113</v>
      </c>
      <c r="B73">
        <v>-4.6184253619852456E-2</v>
      </c>
      <c r="C73">
        <v>-0.46989902102445102</v>
      </c>
      <c r="D73">
        <v>5.4626407902089724E-3</v>
      </c>
      <c r="E73">
        <v>2.7899656860839173E-3</v>
      </c>
    </row>
    <row r="74" spans="1:5" x14ac:dyDescent="0.3">
      <c r="A74" s="3" t="s">
        <v>114</v>
      </c>
      <c r="B74">
        <v>5.0534311656593722E-2</v>
      </c>
      <c r="C74">
        <v>-0.68937329756967203</v>
      </c>
      <c r="D74">
        <v>6.1182395376206955E-3</v>
      </c>
      <c r="E74">
        <v>3.691999305741156E-3</v>
      </c>
    </row>
    <row r="75" spans="1:5" x14ac:dyDescent="0.3">
      <c r="A75" s="3" t="s">
        <v>115</v>
      </c>
      <c r="B75">
        <v>-2.5078873825878922E-2</v>
      </c>
      <c r="C75">
        <v>-0.91148592034009901</v>
      </c>
      <c r="D75">
        <v>1.0348596375943764E-2</v>
      </c>
      <c r="E75">
        <v>2.5746542002220707E-3</v>
      </c>
    </row>
    <row r="76" spans="1:5" x14ac:dyDescent="0.3">
      <c r="A76" s="3" t="s">
        <v>116</v>
      </c>
      <c r="B76">
        <v>6.1063449614363385E-2</v>
      </c>
      <c r="C76">
        <v>-0.34970317738805301</v>
      </c>
      <c r="D76">
        <v>1.2371115475438899E-2</v>
      </c>
      <c r="E76">
        <v>-1.7252924597821462E-3</v>
      </c>
    </row>
    <row r="77" spans="1:5" x14ac:dyDescent="0.3">
      <c r="A77" s="3" t="s">
        <v>117</v>
      </c>
      <c r="B77">
        <v>3.7347986841758996E-2</v>
      </c>
      <c r="C77">
        <v>0.40660689903408198</v>
      </c>
      <c r="D77">
        <v>9.9062785182866264E-3</v>
      </c>
      <c r="E77">
        <v>3.6958708083467684E-4</v>
      </c>
    </row>
    <row r="78" spans="1:5" x14ac:dyDescent="0.3">
      <c r="A78" s="3" t="s">
        <v>118</v>
      </c>
      <c r="B78">
        <v>-0.13371784120339303</v>
      </c>
      <c r="C78">
        <v>-1.4714090495075201</v>
      </c>
      <c r="D78">
        <v>8.0328233219590928E-3</v>
      </c>
      <c r="E78">
        <v>3.4854867102085407E-3</v>
      </c>
    </row>
    <row r="79" spans="1:5" x14ac:dyDescent="0.3">
      <c r="A79" s="3" t="s">
        <v>119</v>
      </c>
      <c r="B79">
        <v>2.1465809457897223E-2</v>
      </c>
      <c r="C79">
        <v>-1.07860586369311</v>
      </c>
      <c r="D79">
        <v>1.5674463012436135E-2</v>
      </c>
      <c r="E79">
        <v>3.6652253476701091E-3</v>
      </c>
    </row>
    <row r="80" spans="1:5" x14ac:dyDescent="0.3">
      <c r="A80" s="3" t="s">
        <v>120</v>
      </c>
      <c r="B80">
        <v>1.2923824876136081E-2</v>
      </c>
      <c r="C80">
        <v>0.53381905588582101</v>
      </c>
      <c r="D80">
        <v>-1.0369108206677247E-2</v>
      </c>
      <c r="E80">
        <v>2.8541220820494928E-3</v>
      </c>
    </row>
    <row r="81" spans="1:5" x14ac:dyDescent="0.3">
      <c r="A81" s="3" t="s">
        <v>121</v>
      </c>
      <c r="B81">
        <v>3.6620496065138397E-3</v>
      </c>
      <c r="C81">
        <v>-0.16776401887950401</v>
      </c>
      <c r="D81">
        <v>2.8400486466724217E-3</v>
      </c>
      <c r="E81">
        <v>2.8014780582328314E-3</v>
      </c>
    </row>
    <row r="82" spans="1:5" x14ac:dyDescent="0.3">
      <c r="A82" s="3" t="s">
        <v>122</v>
      </c>
      <c r="B82">
        <v>-1.7914072313715224E-2</v>
      </c>
      <c r="C82">
        <v>0.826785431907616</v>
      </c>
      <c r="D82">
        <v>1.4341989839594227E-2</v>
      </c>
      <c r="E82">
        <v>8.3241703264569367E-5</v>
      </c>
    </row>
    <row r="83" spans="1:5" x14ac:dyDescent="0.3">
      <c r="A83" s="3" t="s">
        <v>123</v>
      </c>
      <c r="B83">
        <v>8.4693878849266824E-2</v>
      </c>
      <c r="C83">
        <v>2.5476937715216201</v>
      </c>
      <c r="D83">
        <v>7.0881981226369462E-3</v>
      </c>
      <c r="E83">
        <v>-4.6331173104618983E-4</v>
      </c>
    </row>
    <row r="84" spans="1:5" x14ac:dyDescent="0.3">
      <c r="A84" s="3" t="s">
        <v>124</v>
      </c>
      <c r="B84">
        <v>2.8411685950374022E-2</v>
      </c>
      <c r="C84">
        <v>0.69865683611639695</v>
      </c>
      <c r="D84">
        <v>1.7072722229158899E-3</v>
      </c>
      <c r="E84">
        <v>1.8164124066410992E-3</v>
      </c>
    </row>
    <row r="85" spans="1:5" x14ac:dyDescent="0.3">
      <c r="A85" s="3" t="s">
        <v>125</v>
      </c>
      <c r="B85">
        <v>5.6531775076678947E-2</v>
      </c>
      <c r="C85">
        <v>0.19645196386498701</v>
      </c>
      <c r="D85">
        <v>-1.0359911706414593E-2</v>
      </c>
      <c r="E85">
        <v>1.4011131860423021E-3</v>
      </c>
    </row>
    <row r="86" spans="1:5" x14ac:dyDescent="0.3">
      <c r="A86" s="3" t="s">
        <v>126</v>
      </c>
      <c r="B86">
        <v>2.2431583763804497E-4</v>
      </c>
      <c r="C86">
        <v>-0.102557839157062</v>
      </c>
      <c r="D86">
        <v>2.6150934769935574E-2</v>
      </c>
      <c r="E86">
        <v>4.6697162862683328E-3</v>
      </c>
    </row>
    <row r="87" spans="1:5" x14ac:dyDescent="0.3">
      <c r="A87" s="3" t="s">
        <v>127</v>
      </c>
      <c r="B87">
        <v>-6.6385616517354862E-3</v>
      </c>
      <c r="C87">
        <v>0.18255573374942199</v>
      </c>
      <c r="D87">
        <v>-4.3214899771992776E-4</v>
      </c>
      <c r="E87">
        <v>3.2464874043363068E-3</v>
      </c>
    </row>
    <row r="88" spans="1:5" x14ac:dyDescent="0.3">
      <c r="A88" s="3" t="s">
        <v>128</v>
      </c>
      <c r="B88">
        <v>0.1494627418517176</v>
      </c>
      <c r="C88">
        <v>0.54149045528310602</v>
      </c>
      <c r="D88">
        <v>7.8934571039308565E-3</v>
      </c>
      <c r="E88">
        <v>2.3765965513335985E-3</v>
      </c>
    </row>
    <row r="89" spans="1:5" x14ac:dyDescent="0.3">
      <c r="A89" s="3" t="s">
        <v>129</v>
      </c>
      <c r="B89">
        <v>6.2829643988885131E-2</v>
      </c>
      <c r="C89">
        <v>2.1325638468477801</v>
      </c>
      <c r="D89">
        <v>1.2038020589361764E-2</v>
      </c>
      <c r="E89">
        <v>6.8850471069543673E-3</v>
      </c>
    </row>
    <row r="90" spans="1:5" x14ac:dyDescent="0.3">
      <c r="A90" s="3" t="s">
        <v>130</v>
      </c>
      <c r="B90">
        <v>-8.20685569760915E-2</v>
      </c>
      <c r="C90">
        <v>-1.0310357739092399</v>
      </c>
      <c r="D90">
        <v>-1.261634290284519E-2</v>
      </c>
      <c r="E90">
        <v>8.9341795133357493E-4</v>
      </c>
    </row>
    <row r="91" spans="1:5" x14ac:dyDescent="0.3">
      <c r="A91" s="3" t="s">
        <v>131</v>
      </c>
      <c r="B91">
        <v>-4.7077063484600501E-2</v>
      </c>
      <c r="C91">
        <v>-4.71097961197776E-2</v>
      </c>
      <c r="D91">
        <v>-5.6944292085656656E-3</v>
      </c>
      <c r="E91">
        <v>2.1886878913273122E-3</v>
      </c>
    </row>
    <row r="92" spans="1:5" x14ac:dyDescent="0.3">
      <c r="A92" s="3" t="s">
        <v>132</v>
      </c>
      <c r="B92">
        <v>1.0746125316996036E-2</v>
      </c>
      <c r="C92">
        <v>-0.82468069825116297</v>
      </c>
      <c r="D92">
        <v>1.9734851840778056E-2</v>
      </c>
      <c r="E92">
        <v>7.0364440961254715E-3</v>
      </c>
    </row>
    <row r="93" spans="1:5" x14ac:dyDescent="0.3">
      <c r="A93" s="3" t="s">
        <v>133</v>
      </c>
      <c r="B93">
        <v>-0.1196218269445275</v>
      </c>
      <c r="C93">
        <v>3.0346311264413901E-2</v>
      </c>
      <c r="D93">
        <v>-5.6414921699143861E-4</v>
      </c>
      <c r="E93">
        <v>2.6743689214248079E-3</v>
      </c>
    </row>
    <row r="94" spans="1:5" x14ac:dyDescent="0.3">
      <c r="A94" s="3" t="s">
        <v>134</v>
      </c>
      <c r="B94">
        <v>-9.426895530642021E-3</v>
      </c>
      <c r="C94">
        <v>-1.5308283054715</v>
      </c>
      <c r="D94">
        <v>2.5323731176616349E-3</v>
      </c>
      <c r="E94">
        <v>3.784663519470044E-3</v>
      </c>
    </row>
    <row r="95" spans="1:5" x14ac:dyDescent="0.3">
      <c r="A95" s="3" t="s">
        <v>135</v>
      </c>
      <c r="B95">
        <v>9.3110542330894219E-3</v>
      </c>
      <c r="C95">
        <v>-1.3760142397312101</v>
      </c>
      <c r="D95">
        <v>-2.4258409298294481E-4</v>
      </c>
      <c r="E95">
        <v>4.1766986317863797E-3</v>
      </c>
    </row>
    <row r="96" spans="1:5" x14ac:dyDescent="0.3">
      <c r="A96" s="3" t="s">
        <v>136</v>
      </c>
      <c r="B96">
        <v>0.11829778318409279</v>
      </c>
      <c r="C96">
        <v>-1.6302144989562799</v>
      </c>
      <c r="D96">
        <v>8.1800578375306188E-3</v>
      </c>
      <c r="E96">
        <v>6.0245083091921003E-3</v>
      </c>
    </row>
    <row r="97" spans="1:5" x14ac:dyDescent="0.3">
      <c r="A97" s="3" t="s">
        <v>137</v>
      </c>
      <c r="B97">
        <v>1.4306395651238368E-2</v>
      </c>
      <c r="C97">
        <v>-1.24487654153758</v>
      </c>
      <c r="D97">
        <v>2.5841851064339671E-2</v>
      </c>
      <c r="E97">
        <v>2.3078979179560477E-3</v>
      </c>
    </row>
    <row r="98" spans="1:5" x14ac:dyDescent="0.3">
      <c r="A98" s="3" t="s">
        <v>138</v>
      </c>
      <c r="B98">
        <v>1.7201047750623921E-2</v>
      </c>
      <c r="C98">
        <v>1.10348947629086</v>
      </c>
      <c r="D98">
        <v>-7.0487761504800517E-3</v>
      </c>
      <c r="E98">
        <v>-1.9006697071866085E-4</v>
      </c>
    </row>
    <row r="99" spans="1:5" x14ac:dyDescent="0.3">
      <c r="A99" s="3" t="s">
        <v>139</v>
      </c>
      <c r="B99">
        <v>1.9065130233769878E-2</v>
      </c>
      <c r="C99">
        <v>0.81256157176755806</v>
      </c>
      <c r="D99">
        <v>-4.5279066279135805E-4</v>
      </c>
      <c r="E99">
        <v>2.7568554714232363E-3</v>
      </c>
    </row>
    <row r="100" spans="1:5" x14ac:dyDescent="0.3">
      <c r="A100" s="3" t="s">
        <v>140</v>
      </c>
      <c r="B100">
        <v>3.8015712254348522E-2</v>
      </c>
      <c r="C100">
        <v>-1.3738680137473001</v>
      </c>
      <c r="D100">
        <v>1.7456881738907803E-2</v>
      </c>
      <c r="E100">
        <v>2.9012204828626764E-3</v>
      </c>
    </row>
    <row r="101" spans="1:5" x14ac:dyDescent="0.3">
      <c r="A101" s="3" t="s">
        <v>141</v>
      </c>
      <c r="B101">
        <v>-2.7116421796312906E-2</v>
      </c>
      <c r="C101">
        <v>-1.1286644532788499</v>
      </c>
      <c r="D101">
        <v>-1.4925626520986945E-2</v>
      </c>
      <c r="E101">
        <v>5.4218422898406615E-3</v>
      </c>
    </row>
    <row r="102" spans="1:5" x14ac:dyDescent="0.3">
      <c r="A102" s="3" t="s">
        <v>142</v>
      </c>
      <c r="B102">
        <v>-8.7539443749538037E-2</v>
      </c>
      <c r="C102">
        <v>-0.85510594350917102</v>
      </c>
      <c r="D102">
        <v>2.5084391685992635E-2</v>
      </c>
      <c r="E102">
        <v>1.5191532240041994E-3</v>
      </c>
    </row>
    <row r="103" spans="1:5" x14ac:dyDescent="0.3">
      <c r="A103" s="3" t="s">
        <v>143</v>
      </c>
      <c r="B103">
        <v>-0.13992041679507761</v>
      </c>
      <c r="C103">
        <v>-1.0360015313489299</v>
      </c>
      <c r="D103">
        <v>2.5974877000134455E-3</v>
      </c>
      <c r="E103">
        <v>8.5739931453687745E-4</v>
      </c>
    </row>
    <row r="104" spans="1:5" x14ac:dyDescent="0.3">
      <c r="A104" s="3" t="s">
        <v>144</v>
      </c>
      <c r="B104">
        <v>6.5828697008107895E-2</v>
      </c>
      <c r="C104">
        <v>-1.1758635994161</v>
      </c>
      <c r="D104">
        <v>3.4249874697867E-3</v>
      </c>
      <c r="E104">
        <v>-1.1666868624082838E-5</v>
      </c>
    </row>
    <row r="105" spans="1:5" x14ac:dyDescent="0.3">
      <c r="A105" s="3" t="s">
        <v>145</v>
      </c>
      <c r="B105">
        <v>6.8477000867996907E-2</v>
      </c>
      <c r="C105">
        <v>-0.46325354779088401</v>
      </c>
      <c r="D105">
        <v>4.7797929576542941E-3</v>
      </c>
      <c r="E105">
        <v>4.9920076544758274E-3</v>
      </c>
    </row>
    <row r="106" spans="1:5" x14ac:dyDescent="0.3">
      <c r="A106" s="3" t="s">
        <v>146</v>
      </c>
      <c r="B106">
        <v>4.0288434478359392E-3</v>
      </c>
      <c r="C106">
        <v>0.12734557982862099</v>
      </c>
      <c r="D106">
        <v>5.9346504281867496E-3</v>
      </c>
      <c r="E106">
        <v>5.9092973569159213E-3</v>
      </c>
    </row>
    <row r="107" spans="1:5" x14ac:dyDescent="0.3">
      <c r="A107" s="3" t="s">
        <v>147</v>
      </c>
      <c r="B107">
        <v>-5.4578761812197563E-2</v>
      </c>
      <c r="C107">
        <v>6.99748874554314E-2</v>
      </c>
      <c r="D107">
        <v>-3.5985206769391098E-3</v>
      </c>
      <c r="E107">
        <v>-5.2315798800339763E-4</v>
      </c>
    </row>
    <row r="108" spans="1:5" x14ac:dyDescent="0.3">
      <c r="A108" s="3" t="s">
        <v>148</v>
      </c>
      <c r="B108">
        <v>-3.3635712576119303E-2</v>
      </c>
      <c r="C108">
        <v>7.4904584855138803E-2</v>
      </c>
      <c r="D108">
        <v>-6.0050767269714811E-4</v>
      </c>
      <c r="E108">
        <v>3.5217007256349575E-4</v>
      </c>
    </row>
    <row r="109" spans="1:5" x14ac:dyDescent="0.3">
      <c r="A109" s="3" t="s">
        <v>149</v>
      </c>
      <c r="B109">
        <v>1.5253463928985411E-2</v>
      </c>
      <c r="C109">
        <v>-0.96580307032291302</v>
      </c>
      <c r="D109">
        <v>1.2933575804758846E-3</v>
      </c>
      <c r="E109">
        <v>2.1566959148371367E-3</v>
      </c>
    </row>
    <row r="110" spans="1:5" x14ac:dyDescent="0.3">
      <c r="A110" s="3" t="s">
        <v>150</v>
      </c>
      <c r="B110">
        <v>7.5602740742951369E-2</v>
      </c>
      <c r="C110">
        <v>-3.03332411809808E-2</v>
      </c>
      <c r="D110">
        <v>2.1519252119048815E-2</v>
      </c>
      <c r="E110">
        <v>1.9981628276832808E-3</v>
      </c>
    </row>
    <row r="111" spans="1:5" x14ac:dyDescent="0.3">
      <c r="A111" s="3" t="s">
        <v>151</v>
      </c>
      <c r="B111">
        <v>5.7873576589502207E-3</v>
      </c>
      <c r="C111">
        <v>1.71814347794273</v>
      </c>
      <c r="D111">
        <v>3.1478699602152105E-3</v>
      </c>
      <c r="E111">
        <v>-1.2899869936848773E-3</v>
      </c>
    </row>
    <row r="112" spans="1:5" x14ac:dyDescent="0.3">
      <c r="A112" s="3" t="s">
        <v>152</v>
      </c>
      <c r="B112">
        <v>-2.5180613292702603E-2</v>
      </c>
      <c r="C112">
        <v>-1.0389001684231101</v>
      </c>
      <c r="D112">
        <v>5.1672491091379058E-3</v>
      </c>
      <c r="E112">
        <v>4.189852302455499E-3</v>
      </c>
    </row>
    <row r="113" spans="1:5" x14ac:dyDescent="0.3">
      <c r="A113" s="3" t="s">
        <v>153</v>
      </c>
      <c r="B113">
        <v>-9.9481789295099432E-3</v>
      </c>
      <c r="C113">
        <v>0.122529325615687</v>
      </c>
      <c r="D113">
        <v>-3.5913270759246885E-3</v>
      </c>
      <c r="E113">
        <v>2.6973067011963892E-3</v>
      </c>
    </row>
    <row r="114" spans="1:5" x14ac:dyDescent="0.3">
      <c r="A114" s="3" t="s">
        <v>154</v>
      </c>
      <c r="B114">
        <v>2.6699704279642411E-2</v>
      </c>
      <c r="C114">
        <v>1.38913529777839</v>
      </c>
      <c r="D114">
        <v>5.0950432318073169E-3</v>
      </c>
      <c r="E114">
        <v>3.0446526477145852E-3</v>
      </c>
    </row>
    <row r="115" spans="1:5" x14ac:dyDescent="0.3">
      <c r="A115" s="3" t="s">
        <v>155</v>
      </c>
      <c r="B115">
        <v>1.3243834526563525E-2</v>
      </c>
      <c r="C115">
        <v>3.29299969828834</v>
      </c>
      <c r="D115">
        <v>1.7344429586836796E-2</v>
      </c>
      <c r="E115">
        <v>3.8444475962773339E-3</v>
      </c>
    </row>
    <row r="116" spans="1:5" x14ac:dyDescent="0.3">
      <c r="A116" s="3" t="s">
        <v>156</v>
      </c>
      <c r="B116">
        <v>8.8863060333264521E-2</v>
      </c>
      <c r="C116">
        <v>0.14216463170816601</v>
      </c>
      <c r="D116">
        <v>-3.231724405232228E-3</v>
      </c>
      <c r="E116">
        <v>4.4888282685651149E-3</v>
      </c>
    </row>
    <row r="117" spans="1:5" x14ac:dyDescent="0.3">
      <c r="A117" s="3" t="s">
        <v>157</v>
      </c>
      <c r="B117">
        <v>1.798950236607233E-2</v>
      </c>
      <c r="C117">
        <v>0.500746713460403</v>
      </c>
      <c r="D117">
        <v>7.7384851290105416E-3</v>
      </c>
      <c r="E117">
        <v>5.2685487666188635E-3</v>
      </c>
    </row>
    <row r="118" spans="1:5" x14ac:dyDescent="0.3">
      <c r="A118" s="3" t="s">
        <v>158</v>
      </c>
      <c r="B118">
        <v>-2.6308386873745704E-3</v>
      </c>
      <c r="C118">
        <v>-0.20921517748346499</v>
      </c>
      <c r="D118">
        <v>-6.1679551856546055E-3</v>
      </c>
      <c r="E118">
        <v>1.6707266473678928E-3</v>
      </c>
    </row>
    <row r="119" spans="1:5" x14ac:dyDescent="0.3">
      <c r="A119" s="3" t="s">
        <v>159</v>
      </c>
      <c r="B119">
        <v>-5.561554928106105E-2</v>
      </c>
      <c r="C119">
        <v>0.60464716475508595</v>
      </c>
      <c r="D119">
        <v>1.0684694811629036E-2</v>
      </c>
      <c r="E119">
        <v>1.5459295265936035E-3</v>
      </c>
    </row>
    <row r="120" spans="1:5" x14ac:dyDescent="0.3">
      <c r="A120" s="3" t="s">
        <v>160</v>
      </c>
      <c r="B120">
        <v>-6.8751347898158066E-2</v>
      </c>
      <c r="C120">
        <v>0.61798780042495904</v>
      </c>
      <c r="D120">
        <v>1.3313558944625825E-2</v>
      </c>
      <c r="E120">
        <v>-4.7139184592293049E-4</v>
      </c>
    </row>
    <row r="121" spans="1:5" x14ac:dyDescent="0.3">
      <c r="A121" s="3" t="s">
        <v>161</v>
      </c>
      <c r="B121">
        <v>3.9380512871308504E-2</v>
      </c>
      <c r="C121">
        <v>-0.46339720332456902</v>
      </c>
      <c r="D121">
        <v>-9.2589796811424208E-3</v>
      </c>
      <c r="E121">
        <v>1.1967962965142576E-3</v>
      </c>
    </row>
    <row r="122" spans="1:5" x14ac:dyDescent="0.3">
      <c r="A122" s="3" t="s">
        <v>162</v>
      </c>
      <c r="B122">
        <v>-3.1315953034577682E-2</v>
      </c>
      <c r="C122">
        <v>0.58149692070534797</v>
      </c>
      <c r="D122">
        <v>9.5299435164442059E-4</v>
      </c>
      <c r="E122">
        <v>4.0178462396527337E-3</v>
      </c>
    </row>
    <row r="123" spans="1:5" x14ac:dyDescent="0.3">
      <c r="A123" s="3" t="s">
        <v>163</v>
      </c>
      <c r="B123">
        <v>6.3467878451482385E-2</v>
      </c>
      <c r="C123">
        <v>-0.30451740896955098</v>
      </c>
      <c r="D123">
        <v>1.1457883858280837E-2</v>
      </c>
      <c r="E123">
        <v>5.6152340101158771E-3</v>
      </c>
    </row>
    <row r="124" spans="1:5" x14ac:dyDescent="0.3">
      <c r="A124" s="3" t="s">
        <v>164</v>
      </c>
      <c r="B124">
        <v>-1.9839301721624736E-4</v>
      </c>
      <c r="C124">
        <v>-0.38122772743586297</v>
      </c>
      <c r="D124">
        <v>-7.6273874064831659E-3</v>
      </c>
      <c r="E124">
        <v>2.5082775062124085E-4</v>
      </c>
    </row>
    <row r="125" spans="1:5" x14ac:dyDescent="0.3">
      <c r="A125" s="3" t="s">
        <v>165</v>
      </c>
      <c r="B125">
        <v>1.2520496778138934E-2</v>
      </c>
      <c r="C125">
        <v>-0.26473750315162298</v>
      </c>
      <c r="D125">
        <v>3.5818310804884845E-3</v>
      </c>
      <c r="E125">
        <v>4.1741531227899031E-3</v>
      </c>
    </row>
    <row r="126" spans="1:5" x14ac:dyDescent="0.3">
      <c r="A126" s="3" t="s">
        <v>166</v>
      </c>
      <c r="B126">
        <v>1.077111487244764E-3</v>
      </c>
      <c r="C126">
        <v>-0.112425016150572</v>
      </c>
      <c r="D126">
        <v>-7.2580096420926665E-3</v>
      </c>
      <c r="E126">
        <v>3.3448406721907631E-3</v>
      </c>
    </row>
    <row r="127" spans="1:5" x14ac:dyDescent="0.3">
      <c r="A127" s="3" t="s">
        <v>167</v>
      </c>
      <c r="B127">
        <v>3.4720033096030889E-2</v>
      </c>
      <c r="C127">
        <v>8.7216560184208605E-2</v>
      </c>
      <c r="D127">
        <v>-1.012908763334508E-2</v>
      </c>
      <c r="E127">
        <v>2.8390229589145832E-3</v>
      </c>
    </row>
    <row r="128" spans="1:5" x14ac:dyDescent="0.3">
      <c r="A128" s="3" t="s">
        <v>168</v>
      </c>
      <c r="B128">
        <v>-2.101519692867182E-2</v>
      </c>
      <c r="C128">
        <v>-0.72797325875961605</v>
      </c>
      <c r="D128">
        <v>1.1692298176758875E-2</v>
      </c>
      <c r="E128">
        <v>3.2973108567642129E-3</v>
      </c>
    </row>
    <row r="129" spans="1:5" x14ac:dyDescent="0.3">
      <c r="A129" s="3" t="s">
        <v>169</v>
      </c>
      <c r="B129">
        <v>-7.0483369837663901E-2</v>
      </c>
      <c r="C129">
        <v>0.65071721659535797</v>
      </c>
      <c r="D129">
        <v>2.3481288591415961E-3</v>
      </c>
      <c r="E129">
        <v>-1.0451542833180838E-3</v>
      </c>
    </row>
    <row r="130" spans="1:5" x14ac:dyDescent="0.3">
      <c r="A130" s="3" t="s">
        <v>170</v>
      </c>
      <c r="B130">
        <v>-3.5102418159281612E-2</v>
      </c>
      <c r="C130">
        <v>0.99665659954435404</v>
      </c>
      <c r="D130">
        <v>3.1293881144645042E-3</v>
      </c>
      <c r="E130">
        <v>2.272195351927131E-3</v>
      </c>
    </row>
    <row r="131" spans="1:5" x14ac:dyDescent="0.3">
      <c r="A131" s="3" t="s">
        <v>171</v>
      </c>
      <c r="B131">
        <v>-9.9287610471153975E-2</v>
      </c>
      <c r="C131">
        <v>0.33313801382416502</v>
      </c>
      <c r="D131">
        <v>9.1086969670923779E-3</v>
      </c>
      <c r="E131">
        <v>4.9797793059678241E-3</v>
      </c>
    </row>
    <row r="132" spans="1:5" x14ac:dyDescent="0.3">
      <c r="A132" s="3" t="s">
        <v>172</v>
      </c>
      <c r="B132">
        <v>-0.10760104377797397</v>
      </c>
      <c r="C132">
        <v>-0.374295829211577</v>
      </c>
      <c r="D132">
        <v>-6.1758848487070139E-3</v>
      </c>
      <c r="E132">
        <v>1.6188369698255656E-4</v>
      </c>
    </row>
    <row r="133" spans="1:5" x14ac:dyDescent="0.3">
      <c r="A133" s="3" t="s">
        <v>173</v>
      </c>
      <c r="B133">
        <v>-0.24552570010466113</v>
      </c>
      <c r="C133">
        <v>3.3369257430976497E-2</v>
      </c>
      <c r="D133">
        <v>-6.6318694150986346E-3</v>
      </c>
      <c r="E133">
        <v>1.7752234188357363E-3</v>
      </c>
    </row>
    <row r="134" spans="1:5" x14ac:dyDescent="0.3">
      <c r="A134" s="3" t="s">
        <v>174</v>
      </c>
      <c r="B134">
        <v>-0.22762312606190971</v>
      </c>
      <c r="C134">
        <v>0.48425351301642899</v>
      </c>
      <c r="D134">
        <v>1.4928317585444439E-2</v>
      </c>
      <c r="E134">
        <v>2.5842354872640527E-3</v>
      </c>
    </row>
    <row r="135" spans="1:5" x14ac:dyDescent="0.3">
      <c r="A135" s="3" t="s">
        <v>175</v>
      </c>
      <c r="B135">
        <v>6.8738709584452273E-2</v>
      </c>
      <c r="C135">
        <v>2.05080269261668</v>
      </c>
      <c r="D135">
        <v>4.9857145153131555E-3</v>
      </c>
      <c r="E135">
        <v>2.7184279018719337E-3</v>
      </c>
    </row>
    <row r="136" spans="1:5" x14ac:dyDescent="0.3">
      <c r="A136" s="3" t="s">
        <v>176</v>
      </c>
      <c r="B136">
        <v>-5.6112279211640192E-2</v>
      </c>
      <c r="C136">
        <v>-1.7596029735170799</v>
      </c>
      <c r="D136">
        <v>7.022475782473947E-3</v>
      </c>
      <c r="E136">
        <v>2.5887639197064161E-3</v>
      </c>
    </row>
    <row r="137" spans="1:5" x14ac:dyDescent="0.3">
      <c r="A137" s="3" t="s">
        <v>177</v>
      </c>
      <c r="B137">
        <v>0.12983888734879079</v>
      </c>
      <c r="C137">
        <v>1.1764679369182001</v>
      </c>
      <c r="D137">
        <v>1.7654505672915377E-2</v>
      </c>
      <c r="E137">
        <v>4.2339175611614266E-3</v>
      </c>
    </row>
    <row r="138" spans="1:5" x14ac:dyDescent="0.3">
      <c r="A138" s="3" t="s">
        <v>178</v>
      </c>
      <c r="B138">
        <v>8.4820426420777029E-2</v>
      </c>
      <c r="C138">
        <v>1.17293064395833</v>
      </c>
      <c r="D138">
        <v>-3.0589560931286286E-2</v>
      </c>
      <c r="E138">
        <v>6.7295058376215522E-3</v>
      </c>
    </row>
    <row r="139" spans="1:5" x14ac:dyDescent="0.3">
      <c r="A139" s="3" t="s">
        <v>179</v>
      </c>
      <c r="B139">
        <v>9.2367774020551963E-3</v>
      </c>
      <c r="C139">
        <v>-0.31590514075915399</v>
      </c>
      <c r="D139">
        <v>1.4501827052008309E-2</v>
      </c>
      <c r="E139">
        <v>4.5937798621888959E-3</v>
      </c>
    </row>
    <row r="140" spans="1:5" x14ac:dyDescent="0.3">
      <c r="A140" s="3" t="s">
        <v>180</v>
      </c>
      <c r="B140">
        <v>-0.16147712964532479</v>
      </c>
      <c r="C140">
        <v>-0.55385429372920802</v>
      </c>
      <c r="D140">
        <v>6.1803012994818829E-3</v>
      </c>
      <c r="E140">
        <v>3.4327253474852881E-3</v>
      </c>
    </row>
    <row r="141" spans="1:5" x14ac:dyDescent="0.3">
      <c r="A141" s="3" t="s">
        <v>181</v>
      </c>
      <c r="B141">
        <v>-0.17169064294659142</v>
      </c>
      <c r="C141">
        <v>-0.55648829370655695</v>
      </c>
      <c r="D141">
        <v>-8.2095588189501356E-3</v>
      </c>
      <c r="E141">
        <v>3.5037034100495745E-3</v>
      </c>
    </row>
    <row r="142" spans="1:5" x14ac:dyDescent="0.3">
      <c r="A142" s="3" t="s">
        <v>182</v>
      </c>
      <c r="B142">
        <v>5.9100388272449678E-2</v>
      </c>
      <c r="C142">
        <v>-1.5149453745680801</v>
      </c>
      <c r="D142">
        <v>7.5461792508146885E-3</v>
      </c>
      <c r="E142">
        <v>1.0178550850481471E-3</v>
      </c>
    </row>
    <row r="143" spans="1:5" x14ac:dyDescent="0.3">
      <c r="A143" s="3" t="s">
        <v>183</v>
      </c>
      <c r="B143">
        <v>1.6139935963899177E-2</v>
      </c>
      <c r="C143">
        <v>1.3070008682752501</v>
      </c>
      <c r="D143">
        <v>1.3653077596976537E-2</v>
      </c>
      <c r="E143">
        <v>2.6818713716183495E-3</v>
      </c>
    </row>
    <row r="144" spans="1:5" x14ac:dyDescent="0.3">
      <c r="A144" s="3" t="s">
        <v>184</v>
      </c>
      <c r="B144">
        <v>-8.5321291100452168E-2</v>
      </c>
      <c r="C144">
        <v>1.44242414271916</v>
      </c>
      <c r="D144">
        <v>-4.9406481036564642E-3</v>
      </c>
      <c r="E144">
        <v>5.0099769224845048E-3</v>
      </c>
    </row>
    <row r="145" spans="1:5" x14ac:dyDescent="0.3">
      <c r="A145" s="3" t="s">
        <v>185</v>
      </c>
      <c r="B145">
        <v>-0.13205140580880359</v>
      </c>
      <c r="C145">
        <v>0.15208974627729199</v>
      </c>
      <c r="D145">
        <v>1.6337080896455802E-2</v>
      </c>
      <c r="E145">
        <v>3.8687844223090906E-3</v>
      </c>
    </row>
    <row r="146" spans="1:5" x14ac:dyDescent="0.3">
      <c r="A146" s="3" t="s">
        <v>186</v>
      </c>
      <c r="B146">
        <v>-0.16035434099075374</v>
      </c>
      <c r="C146">
        <v>5.6285191136636901E-2</v>
      </c>
      <c r="D146">
        <v>-6.8741071159479361E-3</v>
      </c>
      <c r="E146">
        <v>4.630433534180689E-3</v>
      </c>
    </row>
    <row r="147" spans="1:5" x14ac:dyDescent="0.3">
      <c r="A147" s="3" t="s">
        <v>187</v>
      </c>
      <c r="B147">
        <v>-4.3878006172053841E-2</v>
      </c>
      <c r="C147">
        <v>3.1876126654266201</v>
      </c>
      <c r="D147">
        <v>1.2612079765409234E-2</v>
      </c>
      <c r="E147">
        <v>1.4904829364938976E-3</v>
      </c>
    </row>
    <row r="148" spans="1:5" x14ac:dyDescent="0.3">
      <c r="A148" s="3" t="s">
        <v>188</v>
      </c>
      <c r="B148">
        <v>0.21386581743597244</v>
      </c>
      <c r="C148">
        <v>-2.0550813293226202</v>
      </c>
      <c r="D148">
        <v>1.2234244853305931E-2</v>
      </c>
      <c r="E148">
        <v>8.1204891494479625E-4</v>
      </c>
    </row>
    <row r="149" spans="1:5" x14ac:dyDescent="0.3">
      <c r="A149" s="3" t="s">
        <v>189</v>
      </c>
      <c r="B149">
        <v>8.1782461476727963E-2</v>
      </c>
      <c r="C149">
        <v>-1.75453155848371</v>
      </c>
      <c r="D149">
        <v>-1.7007527964771008E-2</v>
      </c>
      <c r="E149">
        <v>5.5013626104472024E-4</v>
      </c>
    </row>
    <row r="150" spans="1:5" x14ac:dyDescent="0.3">
      <c r="A150" s="3" t="s">
        <v>190</v>
      </c>
      <c r="B150">
        <v>0.13650243482714508</v>
      </c>
      <c r="C150">
        <v>0.35092576451204199</v>
      </c>
      <c r="D150">
        <v>-4.3895273844754001E-3</v>
      </c>
      <c r="E150">
        <v>3.2382462029092451E-3</v>
      </c>
    </row>
    <row r="151" spans="1:5" x14ac:dyDescent="0.3">
      <c r="A151" s="3" t="s">
        <v>191</v>
      </c>
      <c r="B151">
        <v>4.2952030099054017E-2</v>
      </c>
      <c r="C151">
        <v>-0.81803009057276599</v>
      </c>
      <c r="D151">
        <v>9.0721250358365424E-3</v>
      </c>
      <c r="E151">
        <v>2.713414426746219E-3</v>
      </c>
    </row>
    <row r="152" spans="1:5" x14ac:dyDescent="0.3">
      <c r="A152" s="3" t="s">
        <v>192</v>
      </c>
      <c r="B152">
        <v>-8.8055997290562793E-2</v>
      </c>
      <c r="C152">
        <v>-0.80176812809044296</v>
      </c>
      <c r="D152">
        <v>1.2339578169310528E-2</v>
      </c>
      <c r="E152">
        <v>-2.8802640756353526E-4</v>
      </c>
    </row>
    <row r="153" spans="1:5" x14ac:dyDescent="0.3">
      <c r="A153" s="3" t="s">
        <v>193</v>
      </c>
      <c r="B153">
        <v>1.5665215243356734E-3</v>
      </c>
      <c r="C153">
        <v>1.4179436335506901</v>
      </c>
      <c r="D153">
        <v>1.227689651127406E-3</v>
      </c>
      <c r="E153">
        <v>3.2378165811310922E-3</v>
      </c>
    </row>
    <row r="154" spans="1:5" x14ac:dyDescent="0.3">
      <c r="A154" s="3" t="s">
        <v>194</v>
      </c>
      <c r="B154">
        <v>1.0233682193013571E-2</v>
      </c>
      <c r="C154">
        <v>1.2605748295124899</v>
      </c>
      <c r="D154">
        <v>-1.8053326959464044E-3</v>
      </c>
      <c r="E154">
        <v>2.8533182312511229E-3</v>
      </c>
    </row>
    <row r="155" spans="1:5" x14ac:dyDescent="0.3">
      <c r="A155" s="3" t="s">
        <v>195</v>
      </c>
      <c r="B155">
        <v>9.695878589958884E-2</v>
      </c>
      <c r="C155">
        <v>-0.89756705562199102</v>
      </c>
      <c r="D155">
        <v>-7.2341154208519498E-3</v>
      </c>
      <c r="E155">
        <v>5.4409695887365217E-3</v>
      </c>
    </row>
    <row r="156" spans="1:5" x14ac:dyDescent="0.3">
      <c r="A156" s="3" t="s">
        <v>196</v>
      </c>
      <c r="B156">
        <v>-8.6390655837796704E-2</v>
      </c>
      <c r="C156">
        <v>-1.31983656622528</v>
      </c>
      <c r="D156">
        <v>8.1086630496516321E-3</v>
      </c>
      <c r="E156">
        <v>4.4048764804109908E-3</v>
      </c>
    </row>
    <row r="157" spans="1:5" x14ac:dyDescent="0.3">
      <c r="A157" s="3" t="s">
        <v>197</v>
      </c>
      <c r="B157">
        <v>0.12944398791870126</v>
      </c>
      <c r="C157">
        <v>-1.55701549701071</v>
      </c>
      <c r="D157">
        <v>1.2839532567811673E-2</v>
      </c>
      <c r="E157">
        <v>2.7014889247585216E-3</v>
      </c>
    </row>
    <row r="158" spans="1:5" x14ac:dyDescent="0.3">
      <c r="A158" s="3" t="s">
        <v>198</v>
      </c>
      <c r="B158">
        <v>1.0146540577227636E-2</v>
      </c>
      <c r="C158">
        <v>-0.78361163157023295</v>
      </c>
      <c r="D158">
        <v>4.4800498861334859E-3</v>
      </c>
      <c r="E158">
        <v>3.334980655076869E-3</v>
      </c>
    </row>
    <row r="159" spans="1:5" x14ac:dyDescent="0.3">
      <c r="A159" s="3" t="s">
        <v>199</v>
      </c>
      <c r="B159">
        <v>1.8307579363062043E-2</v>
      </c>
      <c r="C159">
        <v>-1.7803286751341401</v>
      </c>
      <c r="D159">
        <v>-3.126860581465607E-3</v>
      </c>
      <c r="E159">
        <v>3.0238046232540228E-3</v>
      </c>
    </row>
    <row r="160" spans="1:5" x14ac:dyDescent="0.3">
      <c r="A160" s="3" t="s">
        <v>200</v>
      </c>
      <c r="B160">
        <v>-8.0588333714993521E-2</v>
      </c>
      <c r="C160">
        <v>-1.30023672957012</v>
      </c>
      <c r="D160">
        <v>-1.6330373016494981E-2</v>
      </c>
      <c r="E160">
        <v>7.6738912940594872E-3</v>
      </c>
    </row>
    <row r="161" spans="1:5" x14ac:dyDescent="0.3">
      <c r="A161" s="3" t="s">
        <v>201</v>
      </c>
      <c r="B161">
        <v>3.4468996567690979E-2</v>
      </c>
      <c r="C161">
        <v>0.40329262225623003</v>
      </c>
      <c r="D161">
        <v>8.8233251023828174E-3</v>
      </c>
      <c r="E161">
        <v>-2.0802277044573714E-3</v>
      </c>
    </row>
    <row r="162" spans="1:5" x14ac:dyDescent="0.3">
      <c r="A162" s="3" t="s">
        <v>202</v>
      </c>
      <c r="B162">
        <v>-5.1850070052278596E-2</v>
      </c>
      <c r="C162">
        <v>1.3610838718613401</v>
      </c>
      <c r="D162">
        <v>5.7379398459023179E-3</v>
      </c>
      <c r="E162">
        <v>-3.0507643619301916E-3</v>
      </c>
    </row>
    <row r="163" spans="1:5" x14ac:dyDescent="0.3">
      <c r="A163" s="3" t="s">
        <v>203</v>
      </c>
      <c r="B163">
        <v>-7.0496830721201942E-2</v>
      </c>
      <c r="C163">
        <v>0.67368059031850902</v>
      </c>
      <c r="D163">
        <v>1.4749089170170926E-2</v>
      </c>
      <c r="E163">
        <v>-2.3312896690708129E-4</v>
      </c>
    </row>
    <row r="164" spans="1:5" x14ac:dyDescent="0.3">
      <c r="A164" s="3" t="s">
        <v>204</v>
      </c>
      <c r="B164">
        <v>3.1589599780372346E-2</v>
      </c>
      <c r="C164">
        <v>6.4622595670036295E-2</v>
      </c>
      <c r="D164">
        <v>-6.6131629535028935E-3</v>
      </c>
      <c r="E164">
        <v>8.0159716693106731E-4</v>
      </c>
    </row>
    <row r="165" spans="1:5" x14ac:dyDescent="0.3">
      <c r="A165" s="3" t="s">
        <v>205</v>
      </c>
      <c r="B165">
        <v>2.9789886391553555E-2</v>
      </c>
      <c r="C165">
        <v>0.62948086283315097</v>
      </c>
      <c r="D165">
        <v>7.5039536501870785E-3</v>
      </c>
      <c r="E165">
        <v>6.2966615060968678E-3</v>
      </c>
    </row>
    <row r="166" spans="1:5" x14ac:dyDescent="0.3">
      <c r="A166" s="3" t="s">
        <v>206</v>
      </c>
      <c r="B166">
        <v>3.6382512622251451E-2</v>
      </c>
      <c r="C166">
        <v>1.41591746571085</v>
      </c>
      <c r="D166">
        <v>5.5987500083407582E-3</v>
      </c>
      <c r="E166">
        <v>6.8079474455462474E-4</v>
      </c>
    </row>
    <row r="167" spans="1:5" x14ac:dyDescent="0.3">
      <c r="A167" s="3" t="s">
        <v>207</v>
      </c>
      <c r="B167">
        <v>3.4717490619164071E-2</v>
      </c>
      <c r="C167">
        <v>-0.21688285837212901</v>
      </c>
      <c r="D167">
        <v>-9.9781976986061949E-3</v>
      </c>
      <c r="E167">
        <v>-3.3050081498888773E-3</v>
      </c>
    </row>
    <row r="168" spans="1:5" x14ac:dyDescent="0.3">
      <c r="A168" s="3" t="s">
        <v>208</v>
      </c>
      <c r="B168">
        <v>9.3581448932265499E-2</v>
      </c>
      <c r="C168">
        <v>-0.27950808867759203</v>
      </c>
      <c r="D168">
        <v>-4.2451402591199283E-3</v>
      </c>
      <c r="E168">
        <v>-5.0916536255218858E-4</v>
      </c>
    </row>
    <row r="169" spans="1:5" x14ac:dyDescent="0.3">
      <c r="A169" s="3" t="s">
        <v>209</v>
      </c>
      <c r="B169">
        <v>2.165645237781888E-2</v>
      </c>
      <c r="C169">
        <v>0.50854456368470202</v>
      </c>
      <c r="D169">
        <v>1.1601312390067342E-2</v>
      </c>
      <c r="E169">
        <v>8.7950227364963496E-4</v>
      </c>
    </row>
    <row r="170" spans="1:5" x14ac:dyDescent="0.3">
      <c r="A170" s="3" t="s">
        <v>210</v>
      </c>
      <c r="B170">
        <v>9.5812660814834416E-2</v>
      </c>
      <c r="C170">
        <v>1.3287071184325101</v>
      </c>
      <c r="D170">
        <v>1.4875807085184434E-2</v>
      </c>
      <c r="E170">
        <v>2.2936254261107791E-3</v>
      </c>
    </row>
    <row r="171" spans="1:5" x14ac:dyDescent="0.3">
      <c r="A171" s="3" t="s">
        <v>211</v>
      </c>
      <c r="B171">
        <v>-2.3347363996991E-2</v>
      </c>
      <c r="C171">
        <v>2.3352122245457498</v>
      </c>
      <c r="D171">
        <v>-3.5686317419276747E-3</v>
      </c>
      <c r="E171">
        <v>2.3586001915525401E-3</v>
      </c>
    </row>
    <row r="172" spans="1:5" x14ac:dyDescent="0.3">
      <c r="A172" s="3" t="s">
        <v>212</v>
      </c>
      <c r="B172">
        <v>8.0026035275251317E-3</v>
      </c>
      <c r="C172">
        <v>-0.94172324691752496</v>
      </c>
      <c r="D172">
        <v>1.0879981654653648E-2</v>
      </c>
      <c r="E172">
        <v>-5.1329306338576686E-4</v>
      </c>
    </row>
    <row r="173" spans="1:5" x14ac:dyDescent="0.3">
      <c r="A173" s="3" t="s">
        <v>213</v>
      </c>
      <c r="B173">
        <v>5.4595662757679797E-2</v>
      </c>
      <c r="C173">
        <v>-0.46186057995290503</v>
      </c>
      <c r="D173">
        <v>1.7101782281907063E-2</v>
      </c>
      <c r="E173">
        <v>-8.4460773314098958E-4</v>
      </c>
    </row>
    <row r="174" spans="1:5" x14ac:dyDescent="0.3">
      <c r="A174" s="3" t="s">
        <v>214</v>
      </c>
      <c r="B174">
        <v>5.4774022073210915E-2</v>
      </c>
      <c r="C174">
        <v>-0.45981793705606799</v>
      </c>
      <c r="D174">
        <v>5.0819507787762674E-3</v>
      </c>
      <c r="E174">
        <v>1.3699940380300646E-3</v>
      </c>
    </row>
    <row r="175" spans="1:5" x14ac:dyDescent="0.3">
      <c r="A175" s="3" t="s">
        <v>215</v>
      </c>
      <c r="B175">
        <v>-3.0615376223875224E-2</v>
      </c>
      <c r="C175">
        <v>-1.4227975332184699</v>
      </c>
      <c r="D175">
        <v>-2.3520049571318147E-2</v>
      </c>
      <c r="E175">
        <v>4.7217929344105514E-3</v>
      </c>
    </row>
    <row r="176" spans="1:5" x14ac:dyDescent="0.3">
      <c r="A176" s="3" t="s">
        <v>216</v>
      </c>
      <c r="B176">
        <v>4.4804036502683608E-2</v>
      </c>
      <c r="C176">
        <v>-1.5949406928333101</v>
      </c>
      <c r="D176">
        <v>-1.0172039366991292E-2</v>
      </c>
      <c r="E176">
        <v>2.5626062382473336E-3</v>
      </c>
    </row>
    <row r="177" spans="1:5" x14ac:dyDescent="0.3">
      <c r="A177" s="3" t="s">
        <v>217</v>
      </c>
      <c r="B177">
        <v>-4.2008478145590722E-2</v>
      </c>
      <c r="C177">
        <v>-0.43687185908036702</v>
      </c>
      <c r="D177">
        <v>8.4839891981198789E-3</v>
      </c>
      <c r="E177">
        <v>9.0437474907911763E-4</v>
      </c>
    </row>
    <row r="178" spans="1:5" x14ac:dyDescent="0.3">
      <c r="A178" s="3" t="s">
        <v>218</v>
      </c>
      <c r="B178">
        <v>3.1385901098169633E-2</v>
      </c>
      <c r="C178">
        <v>0.32088663676623302</v>
      </c>
      <c r="D178">
        <v>9.2372372059283947E-3</v>
      </c>
      <c r="E178">
        <v>2.801577665676902E-3</v>
      </c>
    </row>
    <row r="179" spans="1:5" x14ac:dyDescent="0.3">
      <c r="A179" s="3" t="s">
        <v>219</v>
      </c>
      <c r="B179">
        <v>7.3769663524174689E-3</v>
      </c>
      <c r="C179">
        <v>0.42867904040739802</v>
      </c>
      <c r="D179">
        <v>2.561812440315947E-3</v>
      </c>
      <c r="E179">
        <v>2.2568237568982852E-3</v>
      </c>
    </row>
    <row r="180" spans="1:5" x14ac:dyDescent="0.3">
      <c r="A180" s="3" t="s">
        <v>220</v>
      </c>
      <c r="B180">
        <v>-0.21680326941962669</v>
      </c>
      <c r="C180">
        <v>0.45776990206768198</v>
      </c>
      <c r="D180">
        <v>4.7314010867909317E-3</v>
      </c>
      <c r="E180">
        <v>2.6328939726685263E-3</v>
      </c>
    </row>
    <row r="181" spans="1:5" x14ac:dyDescent="0.3">
      <c r="A181" s="3" t="s">
        <v>221</v>
      </c>
      <c r="B181">
        <v>-0.13997263872737964</v>
      </c>
      <c r="C181">
        <v>-0.33120980441323999</v>
      </c>
      <c r="D181">
        <v>5.5305470165514237E-3</v>
      </c>
      <c r="E181">
        <v>1.074086229633231E-3</v>
      </c>
    </row>
    <row r="182" spans="1:5" x14ac:dyDescent="0.3">
      <c r="A182" s="3" t="s">
        <v>222</v>
      </c>
      <c r="B182">
        <v>3.6872363305397116E-2</v>
      </c>
      <c r="C182">
        <v>0.59960187293204104</v>
      </c>
      <c r="D182">
        <v>-9.1740969076754553E-3</v>
      </c>
      <c r="E182">
        <v>1.7541596409058613E-3</v>
      </c>
    </row>
    <row r="183" spans="1:5" x14ac:dyDescent="0.3">
      <c r="A183" s="3" t="s">
        <v>223</v>
      </c>
      <c r="B183">
        <v>6.7174689167893042E-2</v>
      </c>
      <c r="C183">
        <v>9.9288303270837694E-2</v>
      </c>
      <c r="D183">
        <v>8.3479789424067974E-4</v>
      </c>
      <c r="E183">
        <v>1.1992232603939001E-3</v>
      </c>
    </row>
    <row r="184" spans="1:5" x14ac:dyDescent="0.3">
      <c r="A184" s="3" t="s">
        <v>224</v>
      </c>
      <c r="B184">
        <v>5.6602198115042412E-2</v>
      </c>
      <c r="C184">
        <v>-1.1921580870364701</v>
      </c>
      <c r="D184">
        <v>1.5765697702007309E-2</v>
      </c>
      <c r="E184">
        <v>1.7867292087681008E-3</v>
      </c>
    </row>
    <row r="185" spans="1:5" x14ac:dyDescent="0.3">
      <c r="A185" s="3" t="s">
        <v>225</v>
      </c>
      <c r="B185">
        <v>9.3667308321962572E-2</v>
      </c>
      <c r="C185">
        <v>-9.1319979032653806E-2</v>
      </c>
      <c r="D185">
        <v>3.03956185647003E-3</v>
      </c>
      <c r="E185">
        <v>2.5169568304264089E-3</v>
      </c>
    </row>
    <row r="186" spans="1:5" x14ac:dyDescent="0.3">
      <c r="A186" s="3" t="s">
        <v>226</v>
      </c>
      <c r="B186">
        <v>-4.8610098954021908E-2</v>
      </c>
      <c r="C186">
        <v>-0.49844688834192602</v>
      </c>
      <c r="D186">
        <v>-1.0598726190647056E-4</v>
      </c>
      <c r="E186">
        <v>2.6513651386093073E-3</v>
      </c>
    </row>
    <row r="187" spans="1:5" x14ac:dyDescent="0.3">
      <c r="A187" s="3" t="s">
        <v>227</v>
      </c>
      <c r="B187">
        <v>-0.10695090783269201</v>
      </c>
      <c r="C187">
        <v>0.197081936496871</v>
      </c>
      <c r="D187">
        <v>-1.5919637128272157E-3</v>
      </c>
      <c r="E187">
        <v>5.8100253477988417E-4</v>
      </c>
    </row>
    <row r="188" spans="1:5" x14ac:dyDescent="0.3">
      <c r="A188" s="3" t="s">
        <v>228</v>
      </c>
      <c r="B188">
        <v>4.8040663075457957E-2</v>
      </c>
      <c r="C188">
        <v>-0.66375176674202496</v>
      </c>
      <c r="D188">
        <v>-1.0886428461782671E-3</v>
      </c>
      <c r="E188">
        <v>7.0177182020980666E-4</v>
      </c>
    </row>
    <row r="189" spans="1:5" x14ac:dyDescent="0.3">
      <c r="A189" s="3" t="s">
        <v>229</v>
      </c>
      <c r="B189">
        <v>-4.5300184517354403E-2</v>
      </c>
      <c r="C189">
        <v>0.98935628367684203</v>
      </c>
      <c r="D189">
        <v>8.225274007117811E-3</v>
      </c>
      <c r="E189">
        <v>1.8789248299100336E-4</v>
      </c>
    </row>
    <row r="190" spans="1:5" x14ac:dyDescent="0.3">
      <c r="A190" s="3" t="s">
        <v>230</v>
      </c>
      <c r="B190">
        <v>3.8301030835166117E-2</v>
      </c>
      <c r="C190">
        <v>-0.83563959061745197</v>
      </c>
      <c r="D190">
        <v>-7.7350013527937023E-3</v>
      </c>
      <c r="E190">
        <v>1.004965787418044E-3</v>
      </c>
    </row>
    <row r="191" spans="1:5" x14ac:dyDescent="0.3">
      <c r="A191" s="3" t="s">
        <v>231</v>
      </c>
      <c r="B191">
        <v>-5.3930658553636324E-2</v>
      </c>
      <c r="C191">
        <v>0.82576607147021597</v>
      </c>
      <c r="D191">
        <v>6.2514205054240435E-3</v>
      </c>
      <c r="E191">
        <v>2.5897961111214229E-3</v>
      </c>
    </row>
    <row r="192" spans="1:5" x14ac:dyDescent="0.3">
      <c r="A192" s="3" t="s">
        <v>232</v>
      </c>
      <c r="B192">
        <v>5.5334413828892703E-2</v>
      </c>
      <c r="C192">
        <v>0.48453997936966797</v>
      </c>
      <c r="D192">
        <v>3.6383769680190525E-3</v>
      </c>
      <c r="E192">
        <v>2.44880280882942E-3</v>
      </c>
    </row>
    <row r="193" spans="1:5" x14ac:dyDescent="0.3">
      <c r="A193" s="3" t="s">
        <v>233</v>
      </c>
      <c r="B193">
        <v>4.8765114382979924E-2</v>
      </c>
      <c r="C193">
        <v>-0.37910820530803602</v>
      </c>
      <c r="D193">
        <v>-1.0524210521451138E-2</v>
      </c>
      <c r="E193">
        <v>1.338023272308142E-3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Metadatos</vt:lpstr>
      <vt:lpstr>Bruto</vt:lpstr>
      <vt:lpstr>PRE-Tratado</vt:lpstr>
      <vt:lpstr>FINAL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Brayan Perez</cp:lastModifiedBy>
  <dcterms:created xsi:type="dcterms:W3CDTF">2026-01-02T15:36:18Z</dcterms:created>
  <dcterms:modified xsi:type="dcterms:W3CDTF">2026-01-02T16:33:01Z</dcterms:modified>
  <cp:category/>
</cp:coreProperties>
</file>